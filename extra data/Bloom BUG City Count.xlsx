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072c44b19a83a1/Documents/"/>
    </mc:Choice>
  </mc:AlternateContent>
  <xr:revisionPtr revIDLastSave="0" documentId="14_{B94E047B-C06E-4430-8590-0CF47EE1C2B2}" xr6:coauthVersionLast="47" xr6:coauthVersionMax="47" xr10:uidLastSave="{00000000-0000-0000-0000-000000000000}"/>
  <bookViews>
    <workbookView xWindow="-108" yWindow="-108" windowWidth="23256" windowHeight="14016" activeTab="1" xr2:uid="{C025300C-C6FE-43AD-A4AF-6983B9EDE02F}"/>
  </bookViews>
  <sheets>
    <sheet name="BAAQMD" sheetId="1" r:id="rId1"/>
    <sheet name="SCAQM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D2" i="2"/>
  <c r="D3" i="1" l="1"/>
  <c r="D4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D2" i="1"/>
  <c r="B6" i="1" l="1"/>
  <c r="D6" i="1" s="1"/>
</calcChain>
</file>

<file path=xl/sharedStrings.xml><?xml version="1.0" encoding="utf-8"?>
<sst xmlns="http://schemas.openxmlformats.org/spreadsheetml/2006/main" count="476" uniqueCount="471">
  <si>
    <t>Alameda</t>
  </si>
  <si>
    <t>Alamo</t>
  </si>
  <si>
    <t>Albany</t>
  </si>
  <si>
    <t>Alviso</t>
  </si>
  <si>
    <t>Angwin</t>
  </si>
  <si>
    <t>Antioch</t>
  </si>
  <si>
    <t>Atherton</t>
  </si>
  <si>
    <t>Bay Point</t>
  </si>
  <si>
    <t>Belmont</t>
  </si>
  <si>
    <t>Benicia</t>
  </si>
  <si>
    <t>Berkeley</t>
  </si>
  <si>
    <t>Bethel Island</t>
  </si>
  <si>
    <t>Bolinas</t>
  </si>
  <si>
    <t>Brentwood</t>
  </si>
  <si>
    <t>Brisbane</t>
  </si>
  <si>
    <t>Burlingame</t>
  </si>
  <si>
    <t>Byron</t>
  </si>
  <si>
    <t>Calistoga</t>
  </si>
  <si>
    <t>Campbell</t>
  </si>
  <si>
    <t>Clayton</t>
  </si>
  <si>
    <t>Colma</t>
  </si>
  <si>
    <t>Concord</t>
  </si>
  <si>
    <t>Cotati</t>
  </si>
  <si>
    <t>Coyote</t>
  </si>
  <si>
    <t>Crockett</t>
  </si>
  <si>
    <t>Cupertino</t>
  </si>
  <si>
    <t>Daly City</t>
  </si>
  <si>
    <t>Danville</t>
  </si>
  <si>
    <t>Dillon Beach</t>
  </si>
  <si>
    <t>Dublin</t>
  </si>
  <si>
    <t>El Cerrito</t>
  </si>
  <si>
    <t>El Granada</t>
  </si>
  <si>
    <t>El Sobrante</t>
  </si>
  <si>
    <t>El Verano</t>
  </si>
  <si>
    <t>Eldridge</t>
  </si>
  <si>
    <t>Emeryville</t>
  </si>
  <si>
    <t>Fairfax</t>
  </si>
  <si>
    <t>Fairfield</t>
  </si>
  <si>
    <t>Forest Knolls</t>
  </si>
  <si>
    <t>FORESTVILLE</t>
  </si>
  <si>
    <t>Foster City</t>
  </si>
  <si>
    <t>Freestone</t>
  </si>
  <si>
    <t>Fremont</t>
  </si>
  <si>
    <t>Fulton</t>
  </si>
  <si>
    <t>Gilroy</t>
  </si>
  <si>
    <t>Glen Ellen</t>
  </si>
  <si>
    <t>Greenbrae</t>
  </si>
  <si>
    <t>Hayward</t>
  </si>
  <si>
    <t>Healdsburg</t>
  </si>
  <si>
    <t>Hercules</t>
  </si>
  <si>
    <t>Hillsborough</t>
  </si>
  <si>
    <t>Hollister</t>
  </si>
  <si>
    <t>Kensington</t>
  </si>
  <si>
    <t>Kentfield</t>
  </si>
  <si>
    <t>Kenwood</t>
  </si>
  <si>
    <t>La Honda</t>
  </si>
  <si>
    <t>Lafayette</t>
  </si>
  <si>
    <t>Lagunitas</t>
  </si>
  <si>
    <t>Larkspur</t>
  </si>
  <si>
    <t>Livermore</t>
  </si>
  <si>
    <t>Los Altos</t>
  </si>
  <si>
    <t>Los Altos Hills</t>
  </si>
  <si>
    <t>Los Gatos</t>
  </si>
  <si>
    <t>Martinez</t>
  </si>
  <si>
    <t>Menlo Park</t>
  </si>
  <si>
    <t>Mill Valley</t>
  </si>
  <si>
    <t>Millbrae</t>
  </si>
  <si>
    <t>Milpitas</t>
  </si>
  <si>
    <t>Montara</t>
  </si>
  <si>
    <t>Moraga</t>
  </si>
  <si>
    <t>Morgan Hill</t>
  </si>
  <si>
    <t>Moss Beach</t>
  </si>
  <si>
    <t>Napa</t>
  </si>
  <si>
    <t>Newark</t>
  </si>
  <si>
    <t>Nicasio</t>
  </si>
  <si>
    <t>Novato</t>
  </si>
  <si>
    <t>Oakland</t>
  </si>
  <si>
    <t>Oakley</t>
  </si>
  <si>
    <t>Oakville</t>
  </si>
  <si>
    <t>Orinda</t>
  </si>
  <si>
    <t>Pacheco</t>
  </si>
  <si>
    <t>Pacifica</t>
  </si>
  <si>
    <t>Palo Alto</t>
  </si>
  <si>
    <t>Pescadero</t>
  </si>
  <si>
    <t>Petaluma</t>
  </si>
  <si>
    <t>Pinole</t>
  </si>
  <si>
    <t>Pittsburg</t>
  </si>
  <si>
    <t>Pleasant Hill</t>
  </si>
  <si>
    <t>Pleasanton</t>
  </si>
  <si>
    <t>Pope Valley</t>
  </si>
  <si>
    <t>Richmond</t>
  </si>
  <si>
    <t>Rodeo</t>
  </si>
  <si>
    <t>Ross</t>
  </si>
  <si>
    <t>Rutherford</t>
  </si>
  <si>
    <t>Saint Helena</t>
  </si>
  <si>
    <t>San Anselmo</t>
  </si>
  <si>
    <t>San Bruno</t>
  </si>
  <si>
    <t>San Carlos</t>
  </si>
  <si>
    <t>San Gregorio</t>
  </si>
  <si>
    <t>San Jose</t>
  </si>
  <si>
    <t>San Leandro</t>
  </si>
  <si>
    <t>San Lorenzo</t>
  </si>
  <si>
    <t>San Martin</t>
  </si>
  <si>
    <t>San Mateo</t>
  </si>
  <si>
    <t>San Pablo</t>
  </si>
  <si>
    <t>San Quentin</t>
  </si>
  <si>
    <t>San Rafael</t>
  </si>
  <si>
    <t>San Ramon</t>
  </si>
  <si>
    <t>Santa Clara</t>
  </si>
  <si>
    <t>Santa Rosa</t>
  </si>
  <si>
    <t>Saratoga</t>
  </si>
  <si>
    <t>Sausalito</t>
  </si>
  <si>
    <t>Sebastopol</t>
  </si>
  <si>
    <t>Sonoma</t>
  </si>
  <si>
    <t>Stanford</t>
  </si>
  <si>
    <t>Suisun City</t>
  </si>
  <si>
    <t>Sunnyvale</t>
  </si>
  <si>
    <t>Sunol</t>
  </si>
  <si>
    <t>Tiburon</t>
  </si>
  <si>
    <t>Tomales</t>
  </si>
  <si>
    <t>Tracy</t>
  </si>
  <si>
    <t>Travis AFB</t>
  </si>
  <si>
    <t>Union City</t>
  </si>
  <si>
    <t>Vallejo</t>
  </si>
  <si>
    <t>Valley Ford</t>
  </si>
  <si>
    <t>Windsor</t>
  </si>
  <si>
    <t>Woodacre</t>
  </si>
  <si>
    <t>Woodside</t>
  </si>
  <si>
    <t>Yountville</t>
  </si>
  <si>
    <t>ACTON</t>
  </si>
  <si>
    <t>AGOURA</t>
  </si>
  <si>
    <t>AGOURA HILLS</t>
  </si>
  <si>
    <t>AGUA DULCE</t>
  </si>
  <si>
    <t>AGUANGA</t>
  </si>
  <si>
    <t>ALHAMBRA</t>
  </si>
  <si>
    <t>ALISO VIEJO</t>
  </si>
  <si>
    <t>ALTA LOMA</t>
  </si>
  <si>
    <t>ALTADENA</t>
  </si>
  <si>
    <t>ANAHEIM</t>
  </si>
  <si>
    <t>ANAHEIM HILLS</t>
  </si>
  <si>
    <t>ANGELUS OAKS</t>
  </si>
  <si>
    <t>ANZA</t>
  </si>
  <si>
    <t>ARCADIA</t>
  </si>
  <si>
    <t>ARLETA</t>
  </si>
  <si>
    <t>ARLINGTON</t>
  </si>
  <si>
    <t>ARROWBEAR LAKE</t>
  </si>
  <si>
    <t>ARTESIA</t>
  </si>
  <si>
    <t>AVALON</t>
  </si>
  <si>
    <t>AZUSA</t>
  </si>
  <si>
    <t>BALDWIN PARK</t>
  </si>
  <si>
    <t>BANNING</t>
  </si>
  <si>
    <t>BEAUMONT</t>
  </si>
  <si>
    <t>BELL</t>
  </si>
  <si>
    <t>BELL GARDENS</t>
  </si>
  <si>
    <t>BELLFLOWER</t>
  </si>
  <si>
    <t>BERMUDA DUNES</t>
  </si>
  <si>
    <t>BEVERLY HILLS</t>
  </si>
  <si>
    <t>BIG BEAR</t>
  </si>
  <si>
    <t>BIG BEAR CITY</t>
  </si>
  <si>
    <t>BIG BEAR LAKE</t>
  </si>
  <si>
    <t>BLOOMINGTON</t>
  </si>
  <si>
    <t>BLUE JAY</t>
  </si>
  <si>
    <t>BLYTHE</t>
  </si>
  <si>
    <t>BRADBURY</t>
  </si>
  <si>
    <t>BREA</t>
  </si>
  <si>
    <t>BUENA PARK</t>
  </si>
  <si>
    <t>BURBANK</t>
  </si>
  <si>
    <t>CABAZON</t>
  </si>
  <si>
    <t>CALABASAS</t>
  </si>
  <si>
    <t>CALIMESA</t>
  </si>
  <si>
    <t>CANOGA PARK</t>
  </si>
  <si>
    <t>CANYON COUNTRY</t>
  </si>
  <si>
    <t>CANYON LAKE</t>
  </si>
  <si>
    <t>CAPISTRANO BEACH</t>
  </si>
  <si>
    <t>CARSON</t>
  </si>
  <si>
    <t>CASTAIC</t>
  </si>
  <si>
    <t xml:space="preserve">CATALINA </t>
  </si>
  <si>
    <t>CATHEDRAL CITY</t>
  </si>
  <si>
    <t>CEDAR GLEN</t>
  </si>
  <si>
    <t>CERRITOS</t>
  </si>
  <si>
    <t>CHATSWORTH</t>
  </si>
  <si>
    <t>CHERRY VALLEY</t>
  </si>
  <si>
    <t>CHINO</t>
  </si>
  <si>
    <t>CHINO HILLS</t>
  </si>
  <si>
    <t>CHIRIACO SUMMIT</t>
  </si>
  <si>
    <t>CITY OF INDUSTRY</t>
  </si>
  <si>
    <t>CLAREMONT</t>
  </si>
  <si>
    <t>COACHELLA</t>
  </si>
  <si>
    <t>COLTON</t>
  </si>
  <si>
    <t>COMMERCE</t>
  </si>
  <si>
    <t>COMPTON</t>
  </si>
  <si>
    <t>CORONA</t>
  </si>
  <si>
    <t>CORONA DEL MAR</t>
  </si>
  <si>
    <t>COSTA MESA</t>
  </si>
  <si>
    <t>COTO DE CAZA</t>
  </si>
  <si>
    <t>COVINA</t>
  </si>
  <si>
    <t>CREST PARK</t>
  </si>
  <si>
    <t>CRESTLINE</t>
  </si>
  <si>
    <t>CUDAHY</t>
  </si>
  <si>
    <t>CULVER CITY</t>
  </si>
  <si>
    <t>CYPRESS</t>
  </si>
  <si>
    <t>DANA POINT</t>
  </si>
  <si>
    <t>DESERT CENTER</t>
  </si>
  <si>
    <t>DESERT HOT SPRINGS</t>
  </si>
  <si>
    <t>DEVORE HEIGHTS</t>
  </si>
  <si>
    <t>DIAMOND BAR</t>
  </si>
  <si>
    <t>DOWNEY</t>
  </si>
  <si>
    <t>DUARTE</t>
  </si>
  <si>
    <t>EAGLE ROCK</t>
  </si>
  <si>
    <t>EAST LOS ANGELES</t>
  </si>
  <si>
    <t>EASTVALE</t>
  </si>
  <si>
    <t>EL MONTE</t>
  </si>
  <si>
    <t>EL SEGUNDO</t>
  </si>
  <si>
    <t>EL TORO</t>
  </si>
  <si>
    <t>ENCINO</t>
  </si>
  <si>
    <t>ETIWANDA</t>
  </si>
  <si>
    <t>FAWNSKIN</t>
  </si>
  <si>
    <t>FONTANA</t>
  </si>
  <si>
    <t>FOOTHILL RANCH</t>
  </si>
  <si>
    <t>FOREST FALLS</t>
  </si>
  <si>
    <t>FOUNTAIN VALLEY</t>
  </si>
  <si>
    <t>FULLERTON</t>
  </si>
  <si>
    <t>GARDEN GROVE</t>
  </si>
  <si>
    <t>GARDENA</t>
  </si>
  <si>
    <t>GLENDALE</t>
  </si>
  <si>
    <t>GLENDORA</t>
  </si>
  <si>
    <t>GORMAN</t>
  </si>
  <si>
    <t>GRANADA HILLS</t>
  </si>
  <si>
    <t>GRAND TERRACE</t>
  </si>
  <si>
    <t>GREEN VALLEY</t>
  </si>
  <si>
    <t>GREEN VALLEY LAKE</t>
  </si>
  <si>
    <t>HACIENDA HEIGHTS</t>
  </si>
  <si>
    <t>HARBOR CITY</t>
  </si>
  <si>
    <t>HAWAIIAN GARDENS</t>
  </si>
  <si>
    <t>HAWTHORNE</t>
  </si>
  <si>
    <t>HEMET</t>
  </si>
  <si>
    <t>HERMOSA BEACH</t>
  </si>
  <si>
    <t>HESPERIA</t>
  </si>
  <si>
    <t>HIDDEN HILLS</t>
  </si>
  <si>
    <t>HIGHLAND</t>
  </si>
  <si>
    <t>HOLLYWOOD</t>
  </si>
  <si>
    <t>HOMELAND</t>
  </si>
  <si>
    <t>HUNTINGTON BEACH</t>
  </si>
  <si>
    <t>HUNTINGTON PARK</t>
  </si>
  <si>
    <t>IDYLLWILD</t>
  </si>
  <si>
    <t>INDIAN WELLS</t>
  </si>
  <si>
    <t>INDIO</t>
  </si>
  <si>
    <t>INGLEWOOD</t>
  </si>
  <si>
    <t>IRVINE</t>
  </si>
  <si>
    <t>IRWINDALE</t>
  </si>
  <si>
    <t xml:space="preserve">JURUPA </t>
  </si>
  <si>
    <t>JURUPA VALLEY</t>
  </si>
  <si>
    <t>LA CANADA</t>
  </si>
  <si>
    <t>LA CANADA FLINTRIDGE</t>
  </si>
  <si>
    <t>LA CRESCENTA</t>
  </si>
  <si>
    <t>LA HABRA</t>
  </si>
  <si>
    <t>LA MIRADA</t>
  </si>
  <si>
    <t>LA PALMA</t>
  </si>
  <si>
    <t>LA PUENTE</t>
  </si>
  <si>
    <t>LA QUINTA</t>
  </si>
  <si>
    <t>LA VERNE</t>
  </si>
  <si>
    <t>LADERA RANCH</t>
  </si>
  <si>
    <t>LAGUNA BEACH</t>
  </si>
  <si>
    <t>LAGUNA HILLS</t>
  </si>
  <si>
    <t>LAGUNA NIGUEL</t>
  </si>
  <si>
    <t>LAGUNA WOODS</t>
  </si>
  <si>
    <t>LAKE ARROWHEAD</t>
  </si>
  <si>
    <t>LAKE ELSINORE</t>
  </si>
  <si>
    <t>LAKE FOREST</t>
  </si>
  <si>
    <t>LAKE HUGHES</t>
  </si>
  <si>
    <t>LAKE VIEW TERRACE</t>
  </si>
  <si>
    <t>LAKEVIEW</t>
  </si>
  <si>
    <t>LAKEWOOD</t>
  </si>
  <si>
    <t>LAWNDALE</t>
  </si>
  <si>
    <t>LEBEC</t>
  </si>
  <si>
    <t>LOMA LINDA</t>
  </si>
  <si>
    <t>LOMITA</t>
  </si>
  <si>
    <t>LONG BEACH</t>
  </si>
  <si>
    <t>LOS ALAMITOS</t>
  </si>
  <si>
    <t>LOS ANGELES</t>
  </si>
  <si>
    <t>LYNWOOD</t>
  </si>
  <si>
    <t>LYTLE CREEK</t>
  </si>
  <si>
    <t>MALIBU</t>
  </si>
  <si>
    <t>MANHATTAN BEACH</t>
  </si>
  <si>
    <t>MARCH AIR RESERVE BASE</t>
  </si>
  <si>
    <t>MARINA DEL REY</t>
  </si>
  <si>
    <t>MAYWOOD</t>
  </si>
  <si>
    <t>MECCA</t>
  </si>
  <si>
    <t>MENIFEE</t>
  </si>
  <si>
    <t>MENTONE</t>
  </si>
  <si>
    <t>MIDWAY CITY</t>
  </si>
  <si>
    <t>MIRA LOMA</t>
  </si>
  <si>
    <t>MISSION HILLS</t>
  </si>
  <si>
    <t>MISSION VIEJO</t>
  </si>
  <si>
    <t>MONROVIA</t>
  </si>
  <si>
    <t>MONTCLAIR</t>
  </si>
  <si>
    <t>MONTEBELLO</t>
  </si>
  <si>
    <t>MONTEREY PARK</t>
  </si>
  <si>
    <t>MONTROSE</t>
  </si>
  <si>
    <t>MORENO VALLEY</t>
  </si>
  <si>
    <t>MOUNT WILSON</t>
  </si>
  <si>
    <t>MOUNTAIN CENTER</t>
  </si>
  <si>
    <t>MT BALDY</t>
  </si>
  <si>
    <t>MURRIETA</t>
  </si>
  <si>
    <t>MURRIETA HOT SPRINGS</t>
  </si>
  <si>
    <t>MUSCOY</t>
  </si>
  <si>
    <t>N HOLLYWOOD</t>
  </si>
  <si>
    <t>NEWHALL</t>
  </si>
  <si>
    <t>NEWPORT BEACH</t>
  </si>
  <si>
    <t>NEWPORT COAST</t>
  </si>
  <si>
    <t>NILAND</t>
  </si>
  <si>
    <t>NORCO</t>
  </si>
  <si>
    <t>NORTH HILLS</t>
  </si>
  <si>
    <t>NORTH HOLLYWOOD</t>
  </si>
  <si>
    <t>NORTH PALM SPRINGS</t>
  </si>
  <si>
    <t>NORTH SHORE</t>
  </si>
  <si>
    <t>NORTH TUSTIN</t>
  </si>
  <si>
    <t>NORTHRIDGE</t>
  </si>
  <si>
    <t>NORWALK</t>
  </si>
  <si>
    <t>NUEVO</t>
  </si>
  <si>
    <t>ONTARIO</t>
  </si>
  <si>
    <t>ORANGE</t>
  </si>
  <si>
    <t>PACIFIC PALISADES</t>
  </si>
  <si>
    <t>PACOIMA</t>
  </si>
  <si>
    <t>PALM DESERT</t>
  </si>
  <si>
    <t>PALM SPRINGS</t>
  </si>
  <si>
    <t>PALOS VERDES ESTATES</t>
  </si>
  <si>
    <t>PANORAMA CITY</t>
  </si>
  <si>
    <t>PARAMOUNT</t>
  </si>
  <si>
    <t>PASADENA</t>
  </si>
  <si>
    <t>PERRIS</t>
  </si>
  <si>
    <t>PICO RIVERA</t>
  </si>
  <si>
    <t>PLACENTIA</t>
  </si>
  <si>
    <t>PLAYA DEL REY</t>
  </si>
  <si>
    <t>PLAYA VISTA</t>
  </si>
  <si>
    <t>POMONA</t>
  </si>
  <si>
    <t>PORTER RANCH</t>
  </si>
  <si>
    <t>QUAIL VALLEY</t>
  </si>
  <si>
    <t>RANCHO CUCAMONGA</t>
  </si>
  <si>
    <t>RANCHO DOMINGUEZ</t>
  </si>
  <si>
    <t>RANCHO MIRAGE</t>
  </si>
  <si>
    <t>RANCHO MISSION VIEJO</t>
  </si>
  <si>
    <t>RANCHO PALOS VERDES</t>
  </si>
  <si>
    <t>RANCHO SANTA MARGARITA</t>
  </si>
  <si>
    <t>REDLANDS</t>
  </si>
  <si>
    <t>REDONDO BEACH</t>
  </si>
  <si>
    <t>RESEDA</t>
  </si>
  <si>
    <t>RIALTO</t>
  </si>
  <si>
    <t>RIMFOREST</t>
  </si>
  <si>
    <t>RIVERSIDE</t>
  </si>
  <si>
    <t xml:space="preserve">RIVERSIDE </t>
  </si>
  <si>
    <t>ROLLING HILLS</t>
  </si>
  <si>
    <t>ROLLING HILLS ESTATES</t>
  </si>
  <si>
    <t>ROMOLAND</t>
  </si>
  <si>
    <t>ROSEMEAD</t>
  </si>
  <si>
    <t>ROWLAND HEIGHTS</t>
  </si>
  <si>
    <t>RUBIDOUX</t>
  </si>
  <si>
    <t>RUNNING SPRINGS</t>
  </si>
  <si>
    <t>SAN BERNARDINO</t>
  </si>
  <si>
    <t>SAN CLEMENTE</t>
  </si>
  <si>
    <t>SAN DIMAS</t>
  </si>
  <si>
    <t>SAN FERNANDO</t>
  </si>
  <si>
    <t>SAN GABRIEL</t>
  </si>
  <si>
    <t>SAN JACINTO</t>
  </si>
  <si>
    <t>SAN JUAN CAPISTRANO</t>
  </si>
  <si>
    <t>SAN MARINO</t>
  </si>
  <si>
    <t>SAN PEDRO</t>
  </si>
  <si>
    <t>SANTA ANA</t>
  </si>
  <si>
    <t>SANTA CLARITA</t>
  </si>
  <si>
    <t>SANTA FE SPRINGS</t>
  </si>
  <si>
    <t>SANTA MONICA</t>
  </si>
  <si>
    <t>SAUGUS</t>
  </si>
  <si>
    <t>SEAL BEACH</t>
  </si>
  <si>
    <t>SEPULVEDA</t>
  </si>
  <si>
    <t>SHERMAN OAKS</t>
  </si>
  <si>
    <t>SIERRA MADRE</t>
  </si>
  <si>
    <t>SIGNAL HILL</t>
  </si>
  <si>
    <t>SILVERADO</t>
  </si>
  <si>
    <t>SOUTH EL MONTE</t>
  </si>
  <si>
    <t>SOUTH GATE</t>
  </si>
  <si>
    <t>SOUTH PASADENA</t>
  </si>
  <si>
    <t>STANTON</t>
  </si>
  <si>
    <t>STEVENSON RANCH</t>
  </si>
  <si>
    <t>STUDIO CITY</t>
  </si>
  <si>
    <t>SUGARLOAF</t>
  </si>
  <si>
    <t>SUN CITY</t>
  </si>
  <si>
    <t>SUN VALLEY</t>
  </si>
  <si>
    <t>SUNLAND</t>
  </si>
  <si>
    <t>SYLMAR</t>
  </si>
  <si>
    <t>TARZANA</t>
  </si>
  <si>
    <t>TEMECULA</t>
  </si>
  <si>
    <t>TEMESCAL VALLEY</t>
  </si>
  <si>
    <t>TEMPLE CITY</t>
  </si>
  <si>
    <t>TERMINAL ISLAND</t>
  </si>
  <si>
    <t>THERMAL</t>
  </si>
  <si>
    <t>THOUSAND PALMS</t>
  </si>
  <si>
    <t>TOLUCA LAKE</t>
  </si>
  <si>
    <t>TOPANGA</t>
  </si>
  <si>
    <t>TORRANCE</t>
  </si>
  <si>
    <t>TRABUCO CANYON</t>
  </si>
  <si>
    <t>TUJUNGA</t>
  </si>
  <si>
    <t>TUSTIN</t>
  </si>
  <si>
    <t>TWIN PEAKS</t>
  </si>
  <si>
    <t>UNIVERSAL CITY</t>
  </si>
  <si>
    <t>UPLAND</t>
  </si>
  <si>
    <t>VAL VERDE</t>
  </si>
  <si>
    <t>VALENCIA</t>
  </si>
  <si>
    <t>VALLEY VILLAGE</t>
  </si>
  <si>
    <t>VAN NUYS</t>
  </si>
  <si>
    <t>VENICE</t>
  </si>
  <si>
    <t>VERNON</t>
  </si>
  <si>
    <t>VILLA PARK</t>
  </si>
  <si>
    <t>WALNUT</t>
  </si>
  <si>
    <t>WALNUT PARK</t>
  </si>
  <si>
    <t>WATTS</t>
  </si>
  <si>
    <t>WEST COVINA</t>
  </si>
  <si>
    <t>WEST HILLS</t>
  </si>
  <si>
    <t>WEST HOLLYWOOD</t>
  </si>
  <si>
    <t>WEST LOS ANGELES</t>
  </si>
  <si>
    <t>WESTCHESTER</t>
  </si>
  <si>
    <t>WESTLAKE VILLAGE</t>
  </si>
  <si>
    <t>WESTMINSTER</t>
  </si>
  <si>
    <t>WHITE WATER</t>
  </si>
  <si>
    <t>WHITTIER</t>
  </si>
  <si>
    <t>WILDOMAR</t>
  </si>
  <si>
    <t>WILMINGTON</t>
  </si>
  <si>
    <t>WINCHESTER</t>
  </si>
  <si>
    <t>WOODLAND HILLS</t>
  </si>
  <si>
    <t>YORBA LINDA</t>
  </si>
  <si>
    <t>YUCAIPA</t>
  </si>
  <si>
    <t>City</t>
  </si>
  <si>
    <t>Deer Park</t>
  </si>
  <si>
    <t>Inverness</t>
  </si>
  <si>
    <t>Loma Mar</t>
  </si>
  <si>
    <t>Penngrove</t>
  </si>
  <si>
    <t>Vacaville</t>
  </si>
  <si>
    <t>Belvedere</t>
  </si>
  <si>
    <t>Muir Beach</t>
  </si>
  <si>
    <t>APPLE VALLEY</t>
  </si>
  <si>
    <t>BAKER</t>
  </si>
  <si>
    <t>BARSTOW</t>
  </si>
  <si>
    <t>ESCONDIDO</t>
  </si>
  <si>
    <t>JOSHUA TREE</t>
  </si>
  <si>
    <t>LANCASTER</t>
  </si>
  <si>
    <t>NEEDLES</t>
  </si>
  <si>
    <t>NEWBURY PARK</t>
  </si>
  <si>
    <t>PALMDALE</t>
  </si>
  <si>
    <t>THOUSAND OAKS</t>
  </si>
  <si>
    <t>VENTURA</t>
  </si>
  <si>
    <t>VIEW PARK</t>
  </si>
  <si>
    <t>WRIGHTWOOD</t>
  </si>
  <si>
    <t>Increase</t>
  </si>
  <si>
    <t>Point Reyes</t>
  </si>
  <si>
    <t>S. SF</t>
  </si>
  <si>
    <t>Mt View</t>
  </si>
  <si>
    <t>Am. Canyon</t>
  </si>
  <si>
    <t>H. Moon Bay</t>
  </si>
  <si>
    <t>Moffett F.</t>
  </si>
  <si>
    <t>Birds Land.</t>
  </si>
  <si>
    <t>Castro Val.</t>
  </si>
  <si>
    <t>Corte Mad.</t>
  </si>
  <si>
    <t>Disc. Bay</t>
  </si>
  <si>
    <t>E. Palo Alto</t>
  </si>
  <si>
    <t>SF</t>
  </si>
  <si>
    <t>S. Geronimo</t>
  </si>
  <si>
    <t>Stinson B.</t>
  </si>
  <si>
    <t>Portola V.</t>
  </si>
  <si>
    <t>Redwood C.</t>
  </si>
  <si>
    <t>Rohnert P.</t>
  </si>
  <si>
    <t>Walnut Cr.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</si>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</sst>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17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59E4-4C73-4F53-B93A-0650676E45F3}">
  <dimension ref="A1:H78"/>
  <sheetViews>
    <sheetView zoomScale="104" workbookViewId="0">
      <selection activeCell="N24" sqref="N24"/>
    </sheetView>
  </sheetViews>
  <sheetFormatPr defaultRowHeight="14.4" x14ac:dyDescent="0.3"/>
  <cols>
    <col min="1" max="1" width="11.77734375" customWidth="1"/>
    <col min="2" max="2" width="8.77734375" customWidth="1"/>
    <col min="3" max="4" width="7.77734375" customWidth="1"/>
    <col min="5" max="5" width="11.77734375" customWidth="1"/>
  </cols>
  <sheetData>
    <row r="1" spans="1:8" x14ac:dyDescent="0.3">
      <c r="A1" s="2" t="s">
        <v>430</v>
      </c>
      <c r="B1" s="3">
        <v>43435</v>
      </c>
      <c r="C1" s="3">
        <v>43983</v>
      </c>
      <c r="D1" s="4" t="s">
        <v>451</v>
      </c>
      <c r="E1" s="2" t="s">
        <v>430</v>
      </c>
      <c r="F1" s="3">
        <v>43435</v>
      </c>
      <c r="G1" s="3">
        <v>43983</v>
      </c>
      <c r="H1" s="4" t="s">
        <v>451</v>
      </c>
    </row>
    <row r="2" spans="1:8" x14ac:dyDescent="0.3">
      <c r="A2" t="s">
        <v>0</v>
      </c>
      <c r="B2">
        <v>42</v>
      </c>
      <c r="C2">
        <v>58</v>
      </c>
      <c r="D2">
        <f>C2-B2</f>
        <v>16</v>
      </c>
      <c r="E2" t="s">
        <v>66</v>
      </c>
      <c r="F2">
        <v>21</v>
      </c>
      <c r="G2">
        <v>24</v>
      </c>
      <c r="H2">
        <f>G2-F2</f>
        <v>3</v>
      </c>
    </row>
    <row r="3" spans="1:8" x14ac:dyDescent="0.3">
      <c r="A3" t="s">
        <v>1</v>
      </c>
      <c r="B3">
        <v>2</v>
      </c>
      <c r="C3">
        <v>3</v>
      </c>
      <c r="D3">
        <f t="shared" ref="D3:D66" si="0">C3-B3</f>
        <v>1</v>
      </c>
      <c r="E3" t="s">
        <v>67</v>
      </c>
      <c r="F3">
        <v>72</v>
      </c>
      <c r="G3">
        <v>117</v>
      </c>
      <c r="H3">
        <f>G3-F3</f>
        <v>45</v>
      </c>
    </row>
    <row r="4" spans="1:8" x14ac:dyDescent="0.3">
      <c r="A4" t="s">
        <v>2</v>
      </c>
      <c r="B4">
        <v>14</v>
      </c>
      <c r="C4">
        <v>16</v>
      </c>
      <c r="D4">
        <f t="shared" si="0"/>
        <v>2</v>
      </c>
      <c r="E4" t="s">
        <v>457</v>
      </c>
      <c r="F4">
        <v>10</v>
      </c>
      <c r="G4">
        <v>10</v>
      </c>
      <c r="H4">
        <f>G4-F4</f>
        <v>0</v>
      </c>
    </row>
    <row r="5" spans="1:8" x14ac:dyDescent="0.3">
      <c r="A5" t="s">
        <v>3</v>
      </c>
      <c r="B5">
        <v>4</v>
      </c>
      <c r="C5">
        <v>7</v>
      </c>
      <c r="D5">
        <f t="shared" si="0"/>
        <v>3</v>
      </c>
      <c r="E5" t="s">
        <v>68</v>
      </c>
      <c r="F5">
        <v>4</v>
      </c>
      <c r="G5">
        <v>4</v>
      </c>
      <c r="H5">
        <f>G5-F5</f>
        <v>0</v>
      </c>
    </row>
    <row r="6" spans="1:8" x14ac:dyDescent="0.3">
      <c r="A6" t="s">
        <v>455</v>
      </c>
      <c r="B6">
        <f>13</f>
        <v>13</v>
      </c>
      <c r="C6">
        <v>20</v>
      </c>
      <c r="D6">
        <f t="shared" si="0"/>
        <v>7</v>
      </c>
      <c r="E6" t="s">
        <v>69</v>
      </c>
      <c r="F6">
        <v>8</v>
      </c>
      <c r="G6">
        <v>10</v>
      </c>
      <c r="H6">
        <f>G6-F6</f>
        <v>2</v>
      </c>
    </row>
    <row r="7" spans="1:8" x14ac:dyDescent="0.3">
      <c r="A7" t="s">
        <v>4</v>
      </c>
      <c r="B7">
        <v>5</v>
      </c>
      <c r="C7">
        <v>10</v>
      </c>
      <c r="D7">
        <f t="shared" si="0"/>
        <v>5</v>
      </c>
      <c r="E7" t="s">
        <v>70</v>
      </c>
      <c r="F7">
        <v>32</v>
      </c>
      <c r="G7">
        <v>35</v>
      </c>
      <c r="H7">
        <f>G7-F7</f>
        <v>3</v>
      </c>
    </row>
    <row r="8" spans="1:8" x14ac:dyDescent="0.3">
      <c r="A8" t="s">
        <v>5</v>
      </c>
      <c r="B8">
        <v>42</v>
      </c>
      <c r="C8">
        <v>49</v>
      </c>
      <c r="D8">
        <f t="shared" si="0"/>
        <v>7</v>
      </c>
      <c r="E8" t="s">
        <v>71</v>
      </c>
      <c r="F8">
        <v>3</v>
      </c>
      <c r="G8">
        <v>4</v>
      </c>
      <c r="H8">
        <f>G8-F8</f>
        <v>1</v>
      </c>
    </row>
    <row r="9" spans="1:8" x14ac:dyDescent="0.3">
      <c r="A9" t="s">
        <v>6</v>
      </c>
      <c r="B9">
        <v>12</v>
      </c>
      <c r="C9">
        <v>23</v>
      </c>
      <c r="D9">
        <f t="shared" si="0"/>
        <v>11</v>
      </c>
      <c r="E9" t="s">
        <v>454</v>
      </c>
      <c r="F9">
        <v>142</v>
      </c>
      <c r="G9">
        <v>192</v>
      </c>
      <c r="H9">
        <f>G9-F9</f>
        <v>50</v>
      </c>
    </row>
    <row r="10" spans="1:8" x14ac:dyDescent="0.3">
      <c r="A10" t="s">
        <v>7</v>
      </c>
      <c r="B10">
        <v>1</v>
      </c>
      <c r="C10">
        <v>2</v>
      </c>
      <c r="D10">
        <f t="shared" si="0"/>
        <v>1</v>
      </c>
      <c r="E10" t="s">
        <v>437</v>
      </c>
      <c r="F10">
        <v>0</v>
      </c>
      <c r="G10">
        <v>1</v>
      </c>
      <c r="H10">
        <f>G10-F10</f>
        <v>1</v>
      </c>
    </row>
    <row r="11" spans="1:8" x14ac:dyDescent="0.3">
      <c r="A11" t="s">
        <v>8</v>
      </c>
      <c r="B11">
        <v>25</v>
      </c>
      <c r="C11">
        <v>27</v>
      </c>
      <c r="D11">
        <f t="shared" si="0"/>
        <v>2</v>
      </c>
      <c r="E11" t="s">
        <v>72</v>
      </c>
      <c r="F11">
        <v>92</v>
      </c>
      <c r="G11">
        <v>156</v>
      </c>
      <c r="H11">
        <f>G11-F11</f>
        <v>64</v>
      </c>
    </row>
    <row r="12" spans="1:8" x14ac:dyDescent="0.3">
      <c r="A12" t="s">
        <v>436</v>
      </c>
      <c r="B12">
        <v>0</v>
      </c>
      <c r="C12">
        <v>2</v>
      </c>
      <c r="D12">
        <f t="shared" si="0"/>
        <v>2</v>
      </c>
      <c r="E12" t="s">
        <v>73</v>
      </c>
      <c r="F12">
        <v>47</v>
      </c>
      <c r="G12">
        <v>58</v>
      </c>
      <c r="H12">
        <f>G12-F12</f>
        <v>11</v>
      </c>
    </row>
    <row r="13" spans="1:8" x14ac:dyDescent="0.3">
      <c r="A13" t="s">
        <v>9</v>
      </c>
      <c r="B13">
        <v>22</v>
      </c>
      <c r="C13">
        <v>35</v>
      </c>
      <c r="D13">
        <f t="shared" si="0"/>
        <v>13</v>
      </c>
      <c r="E13" t="s">
        <v>74</v>
      </c>
      <c r="F13">
        <v>4</v>
      </c>
      <c r="G13">
        <v>4</v>
      </c>
      <c r="H13">
        <f>G13-F13</f>
        <v>0</v>
      </c>
    </row>
    <row r="14" spans="1:8" x14ac:dyDescent="0.3">
      <c r="A14" t="s">
        <v>10</v>
      </c>
      <c r="B14">
        <v>131</v>
      </c>
      <c r="C14">
        <v>149</v>
      </c>
      <c r="D14">
        <f t="shared" si="0"/>
        <v>18</v>
      </c>
      <c r="E14" t="s">
        <v>75</v>
      </c>
      <c r="F14">
        <v>59</v>
      </c>
      <c r="G14">
        <v>74</v>
      </c>
      <c r="H14">
        <f>G14-F14</f>
        <v>15</v>
      </c>
    </row>
    <row r="15" spans="1:8" x14ac:dyDescent="0.3">
      <c r="A15" t="s">
        <v>11</v>
      </c>
      <c r="B15">
        <v>2</v>
      </c>
      <c r="C15">
        <v>6</v>
      </c>
      <c r="D15">
        <f t="shared" si="0"/>
        <v>4</v>
      </c>
      <c r="E15" t="s">
        <v>76</v>
      </c>
      <c r="F15">
        <v>229</v>
      </c>
      <c r="G15">
        <v>348</v>
      </c>
      <c r="H15">
        <f>G15-F15</f>
        <v>119</v>
      </c>
    </row>
    <row r="16" spans="1:8" x14ac:dyDescent="0.3">
      <c r="A16" t="s">
        <v>458</v>
      </c>
      <c r="B16">
        <v>1</v>
      </c>
      <c r="C16">
        <v>1</v>
      </c>
      <c r="D16">
        <f t="shared" si="0"/>
        <v>0</v>
      </c>
      <c r="E16" t="s">
        <v>77</v>
      </c>
      <c r="F16">
        <v>18</v>
      </c>
      <c r="G16">
        <v>21</v>
      </c>
      <c r="H16">
        <f>G16-F16</f>
        <v>3</v>
      </c>
    </row>
    <row r="17" spans="1:8" x14ac:dyDescent="0.3">
      <c r="A17" t="s">
        <v>12</v>
      </c>
      <c r="B17">
        <v>4</v>
      </c>
      <c r="C17">
        <v>4</v>
      </c>
      <c r="D17">
        <f t="shared" si="0"/>
        <v>0</v>
      </c>
      <c r="E17" t="s">
        <v>78</v>
      </c>
      <c r="F17">
        <v>3</v>
      </c>
      <c r="G17">
        <v>11</v>
      </c>
      <c r="H17">
        <f>G17-F17</f>
        <v>8</v>
      </c>
    </row>
    <row r="18" spans="1:8" x14ac:dyDescent="0.3">
      <c r="A18" t="s">
        <v>13</v>
      </c>
      <c r="B18">
        <v>23</v>
      </c>
      <c r="C18">
        <v>27</v>
      </c>
      <c r="D18">
        <f t="shared" si="0"/>
        <v>4</v>
      </c>
      <c r="E18" t="s">
        <v>79</v>
      </c>
      <c r="F18">
        <v>14</v>
      </c>
      <c r="G18">
        <v>16</v>
      </c>
      <c r="H18">
        <f>G18-F18</f>
        <v>2</v>
      </c>
    </row>
    <row r="19" spans="1:8" x14ac:dyDescent="0.3">
      <c r="A19" t="s">
        <v>14</v>
      </c>
      <c r="B19">
        <v>22</v>
      </c>
      <c r="C19">
        <v>31</v>
      </c>
      <c r="D19">
        <f t="shared" si="0"/>
        <v>9</v>
      </c>
      <c r="E19" t="s">
        <v>80</v>
      </c>
      <c r="F19">
        <v>2</v>
      </c>
      <c r="G19">
        <v>3</v>
      </c>
      <c r="H19">
        <f>G19-F19</f>
        <v>1</v>
      </c>
    </row>
    <row r="20" spans="1:8" x14ac:dyDescent="0.3">
      <c r="A20" t="s">
        <v>15</v>
      </c>
      <c r="B20">
        <v>50</v>
      </c>
      <c r="C20">
        <v>68</v>
      </c>
      <c r="D20">
        <f t="shared" si="0"/>
        <v>18</v>
      </c>
      <c r="E20" t="s">
        <v>81</v>
      </c>
      <c r="F20">
        <v>11</v>
      </c>
      <c r="G20">
        <v>18</v>
      </c>
      <c r="H20">
        <f>G20-F20</f>
        <v>7</v>
      </c>
    </row>
    <row r="21" spans="1:8" x14ac:dyDescent="0.3">
      <c r="A21" t="s">
        <v>16</v>
      </c>
      <c r="B21">
        <v>13</v>
      </c>
      <c r="C21">
        <v>17</v>
      </c>
      <c r="D21">
        <f t="shared" si="0"/>
        <v>4</v>
      </c>
      <c r="E21" t="s">
        <v>82</v>
      </c>
      <c r="F21">
        <v>203</v>
      </c>
      <c r="G21">
        <v>231</v>
      </c>
      <c r="H21">
        <f>G21-F21</f>
        <v>28</v>
      </c>
    </row>
    <row r="22" spans="1:8" x14ac:dyDescent="0.3">
      <c r="A22" t="s">
        <v>17</v>
      </c>
      <c r="B22">
        <v>19</v>
      </c>
      <c r="C22">
        <v>42</v>
      </c>
      <c r="D22">
        <f t="shared" si="0"/>
        <v>23</v>
      </c>
      <c r="E22" t="s">
        <v>434</v>
      </c>
      <c r="F22">
        <v>0</v>
      </c>
      <c r="G22">
        <v>1</v>
      </c>
      <c r="H22">
        <f>G22-F22</f>
        <v>1</v>
      </c>
    </row>
    <row r="23" spans="1:8" x14ac:dyDescent="0.3">
      <c r="A23" t="s">
        <v>18</v>
      </c>
      <c r="B23">
        <v>18</v>
      </c>
      <c r="C23">
        <v>24</v>
      </c>
      <c r="D23">
        <f t="shared" si="0"/>
        <v>6</v>
      </c>
      <c r="E23" t="s">
        <v>83</v>
      </c>
      <c r="F23">
        <v>3</v>
      </c>
      <c r="G23">
        <v>3</v>
      </c>
      <c r="H23">
        <f>G23-F23</f>
        <v>0</v>
      </c>
    </row>
    <row r="24" spans="1:8" x14ac:dyDescent="0.3">
      <c r="A24" t="s">
        <v>459</v>
      </c>
      <c r="B24">
        <v>20</v>
      </c>
      <c r="C24">
        <v>22</v>
      </c>
      <c r="D24">
        <f t="shared" si="0"/>
        <v>2</v>
      </c>
      <c r="E24" t="s">
        <v>84</v>
      </c>
      <c r="F24">
        <v>50</v>
      </c>
      <c r="G24">
        <v>65</v>
      </c>
      <c r="H24">
        <f>G24-F24</f>
        <v>15</v>
      </c>
    </row>
    <row r="25" spans="1:8" x14ac:dyDescent="0.3">
      <c r="A25" t="s">
        <v>19</v>
      </c>
      <c r="B25">
        <v>10</v>
      </c>
      <c r="C25">
        <v>11</v>
      </c>
      <c r="D25">
        <f t="shared" si="0"/>
        <v>1</v>
      </c>
      <c r="E25" t="s">
        <v>85</v>
      </c>
      <c r="F25">
        <v>11</v>
      </c>
      <c r="G25">
        <v>14</v>
      </c>
      <c r="H25">
        <f>G25-F25</f>
        <v>3</v>
      </c>
    </row>
    <row r="26" spans="1:8" x14ac:dyDescent="0.3">
      <c r="A26" t="s">
        <v>20</v>
      </c>
      <c r="B26">
        <v>5</v>
      </c>
      <c r="C26">
        <v>7</v>
      </c>
      <c r="D26">
        <f t="shared" si="0"/>
        <v>2</v>
      </c>
      <c r="E26" t="s">
        <v>86</v>
      </c>
      <c r="F26">
        <v>52</v>
      </c>
      <c r="G26">
        <v>62</v>
      </c>
      <c r="H26">
        <f>G26-F26</f>
        <v>10</v>
      </c>
    </row>
    <row r="27" spans="1:8" x14ac:dyDescent="0.3">
      <c r="A27" t="s">
        <v>21</v>
      </c>
      <c r="B27">
        <v>100</v>
      </c>
      <c r="C27">
        <v>118</v>
      </c>
      <c r="D27">
        <f t="shared" si="0"/>
        <v>18</v>
      </c>
      <c r="E27" t="s">
        <v>87</v>
      </c>
      <c r="F27">
        <v>16</v>
      </c>
      <c r="G27">
        <v>17</v>
      </c>
      <c r="H27">
        <f>G27-F27</f>
        <v>1</v>
      </c>
    </row>
    <row r="28" spans="1:8" x14ac:dyDescent="0.3">
      <c r="A28" t="s">
        <v>460</v>
      </c>
      <c r="B28">
        <v>8</v>
      </c>
      <c r="C28">
        <v>8</v>
      </c>
      <c r="D28">
        <f t="shared" si="0"/>
        <v>0</v>
      </c>
      <c r="E28" t="s">
        <v>88</v>
      </c>
      <c r="F28">
        <v>65</v>
      </c>
      <c r="G28">
        <v>78</v>
      </c>
      <c r="H28">
        <f>G28-F28</f>
        <v>13</v>
      </c>
    </row>
    <row r="29" spans="1:8" x14ac:dyDescent="0.3">
      <c r="A29" t="s">
        <v>22</v>
      </c>
      <c r="B29">
        <v>3</v>
      </c>
      <c r="C29">
        <v>3</v>
      </c>
      <c r="D29">
        <f t="shared" si="0"/>
        <v>0</v>
      </c>
      <c r="E29" t="s">
        <v>452</v>
      </c>
      <c r="F29">
        <v>4</v>
      </c>
      <c r="G29">
        <v>4</v>
      </c>
      <c r="H29">
        <f>G29-F29</f>
        <v>0</v>
      </c>
    </row>
    <row r="30" spans="1:8" x14ac:dyDescent="0.3">
      <c r="A30" t="s">
        <v>23</v>
      </c>
      <c r="B30">
        <v>1</v>
      </c>
      <c r="C30">
        <v>4</v>
      </c>
      <c r="D30">
        <f t="shared" si="0"/>
        <v>3</v>
      </c>
      <c r="E30" t="s">
        <v>89</v>
      </c>
      <c r="F30">
        <v>1</v>
      </c>
      <c r="G30">
        <v>3</v>
      </c>
      <c r="H30">
        <f>G30-F30</f>
        <v>2</v>
      </c>
    </row>
    <row r="31" spans="1:8" x14ac:dyDescent="0.3">
      <c r="A31" t="s">
        <v>24</v>
      </c>
      <c r="B31">
        <v>7</v>
      </c>
      <c r="C31">
        <v>13</v>
      </c>
      <c r="D31">
        <f t="shared" si="0"/>
        <v>6</v>
      </c>
      <c r="E31" t="s">
        <v>466</v>
      </c>
      <c r="F31">
        <v>4</v>
      </c>
      <c r="G31">
        <v>7</v>
      </c>
      <c r="H31">
        <f>G31-F31</f>
        <v>3</v>
      </c>
    </row>
    <row r="32" spans="1:8" x14ac:dyDescent="0.3">
      <c r="A32" t="s">
        <v>25</v>
      </c>
      <c r="B32">
        <v>63</v>
      </c>
      <c r="C32">
        <v>70</v>
      </c>
      <c r="D32">
        <f t="shared" si="0"/>
        <v>7</v>
      </c>
      <c r="E32" t="s">
        <v>467</v>
      </c>
      <c r="F32">
        <v>147</v>
      </c>
      <c r="G32">
        <v>190</v>
      </c>
      <c r="H32">
        <f>G32-F32</f>
        <v>43</v>
      </c>
    </row>
    <row r="33" spans="1:8" x14ac:dyDescent="0.3">
      <c r="A33" t="s">
        <v>26</v>
      </c>
      <c r="B33">
        <v>49</v>
      </c>
      <c r="C33">
        <v>53</v>
      </c>
      <c r="D33">
        <f t="shared" si="0"/>
        <v>4</v>
      </c>
      <c r="E33" t="s">
        <v>90</v>
      </c>
      <c r="F33">
        <v>69</v>
      </c>
      <c r="G33">
        <v>129</v>
      </c>
      <c r="H33">
        <f>G33-F33</f>
        <v>60</v>
      </c>
    </row>
    <row r="34" spans="1:8" x14ac:dyDescent="0.3">
      <c r="A34" t="s">
        <v>27</v>
      </c>
      <c r="B34">
        <v>12</v>
      </c>
      <c r="C34">
        <v>14</v>
      </c>
      <c r="D34">
        <f t="shared" si="0"/>
        <v>2</v>
      </c>
      <c r="E34" t="s">
        <v>91</v>
      </c>
      <c r="F34">
        <v>4</v>
      </c>
      <c r="G34">
        <v>13</v>
      </c>
      <c r="H34">
        <f>G34-F34</f>
        <v>9</v>
      </c>
    </row>
    <row r="35" spans="1:8" x14ac:dyDescent="0.3">
      <c r="A35" t="s">
        <v>431</v>
      </c>
      <c r="B35">
        <v>0</v>
      </c>
      <c r="C35">
        <v>1</v>
      </c>
      <c r="D35">
        <f t="shared" si="0"/>
        <v>1</v>
      </c>
      <c r="E35" t="s">
        <v>468</v>
      </c>
      <c r="F35">
        <v>26</v>
      </c>
      <c r="G35">
        <v>30</v>
      </c>
      <c r="H35">
        <f>G35-F35</f>
        <v>4</v>
      </c>
    </row>
    <row r="36" spans="1:8" x14ac:dyDescent="0.3">
      <c r="A36" t="s">
        <v>28</v>
      </c>
      <c r="B36">
        <v>1</v>
      </c>
      <c r="C36">
        <v>1</v>
      </c>
      <c r="D36">
        <f t="shared" si="0"/>
        <v>0</v>
      </c>
      <c r="E36" t="s">
        <v>92</v>
      </c>
      <c r="F36">
        <v>1</v>
      </c>
      <c r="G36">
        <v>2</v>
      </c>
      <c r="H36">
        <f>G36-F36</f>
        <v>1</v>
      </c>
    </row>
    <row r="37" spans="1:8" x14ac:dyDescent="0.3">
      <c r="A37" t="s">
        <v>461</v>
      </c>
      <c r="B37">
        <v>8</v>
      </c>
      <c r="C37">
        <v>8</v>
      </c>
      <c r="D37">
        <f t="shared" si="0"/>
        <v>0</v>
      </c>
      <c r="E37" t="s">
        <v>93</v>
      </c>
      <c r="F37">
        <v>7</v>
      </c>
      <c r="G37">
        <v>13</v>
      </c>
      <c r="H37">
        <f>G37-F37</f>
        <v>6</v>
      </c>
    </row>
    <row r="38" spans="1:8" x14ac:dyDescent="0.3">
      <c r="A38" t="s">
        <v>29</v>
      </c>
      <c r="B38">
        <v>40</v>
      </c>
      <c r="C38">
        <v>47</v>
      </c>
      <c r="D38">
        <f t="shared" si="0"/>
        <v>7</v>
      </c>
      <c r="E38" t="s">
        <v>94</v>
      </c>
      <c r="F38">
        <v>27</v>
      </c>
      <c r="G38">
        <v>84</v>
      </c>
      <c r="H38">
        <f>G38-F38</f>
        <v>57</v>
      </c>
    </row>
    <row r="39" spans="1:8" x14ac:dyDescent="0.3">
      <c r="A39" t="s">
        <v>462</v>
      </c>
      <c r="B39">
        <v>10</v>
      </c>
      <c r="C39">
        <v>10</v>
      </c>
      <c r="D39">
        <f t="shared" si="0"/>
        <v>0</v>
      </c>
      <c r="E39" t="s">
        <v>95</v>
      </c>
      <c r="F39">
        <v>2</v>
      </c>
      <c r="G39">
        <v>5</v>
      </c>
      <c r="H39">
        <f>G39-F39</f>
        <v>3</v>
      </c>
    </row>
    <row r="40" spans="1:8" x14ac:dyDescent="0.3">
      <c r="A40" t="s">
        <v>30</v>
      </c>
      <c r="B40">
        <v>7</v>
      </c>
      <c r="C40">
        <v>10</v>
      </c>
      <c r="D40">
        <f t="shared" si="0"/>
        <v>3</v>
      </c>
      <c r="E40" t="s">
        <v>96</v>
      </c>
      <c r="F40">
        <v>33</v>
      </c>
      <c r="G40">
        <v>43</v>
      </c>
      <c r="H40">
        <f>G40-F40</f>
        <v>10</v>
      </c>
    </row>
    <row r="41" spans="1:8" x14ac:dyDescent="0.3">
      <c r="A41" t="s">
        <v>31</v>
      </c>
      <c r="B41">
        <v>2</v>
      </c>
      <c r="C41">
        <v>3</v>
      </c>
      <c r="D41">
        <f t="shared" si="0"/>
        <v>1</v>
      </c>
      <c r="E41" t="s">
        <v>97</v>
      </c>
      <c r="F41">
        <v>35</v>
      </c>
      <c r="G41">
        <v>46</v>
      </c>
      <c r="H41">
        <f>G41-F41</f>
        <v>11</v>
      </c>
    </row>
    <row r="42" spans="1:8" x14ac:dyDescent="0.3">
      <c r="A42" t="s">
        <v>32</v>
      </c>
      <c r="B42">
        <v>3</v>
      </c>
      <c r="C42">
        <v>3</v>
      </c>
      <c r="D42">
        <f t="shared" si="0"/>
        <v>0</v>
      </c>
      <c r="E42" t="s">
        <v>463</v>
      </c>
      <c r="F42">
        <v>841</v>
      </c>
      <c r="G42">
        <v>1190</v>
      </c>
      <c r="H42">
        <f>G42-F42</f>
        <v>349</v>
      </c>
    </row>
    <row r="43" spans="1:8" x14ac:dyDescent="0.3">
      <c r="A43" t="s">
        <v>33</v>
      </c>
      <c r="B43">
        <v>1</v>
      </c>
      <c r="C43">
        <v>1</v>
      </c>
      <c r="D43">
        <f t="shared" si="0"/>
        <v>0</v>
      </c>
      <c r="E43" t="s">
        <v>464</v>
      </c>
      <c r="F43">
        <v>1</v>
      </c>
      <c r="G43">
        <v>1</v>
      </c>
      <c r="H43">
        <f>G43-F43</f>
        <v>0</v>
      </c>
    </row>
    <row r="44" spans="1:8" x14ac:dyDescent="0.3">
      <c r="A44" t="s">
        <v>34</v>
      </c>
      <c r="B44">
        <v>5</v>
      </c>
      <c r="C44">
        <v>5</v>
      </c>
      <c r="D44">
        <f t="shared" si="0"/>
        <v>0</v>
      </c>
      <c r="E44" t="s">
        <v>98</v>
      </c>
      <c r="F44">
        <v>1</v>
      </c>
      <c r="G44">
        <v>1</v>
      </c>
      <c r="H44">
        <f>G44-F44</f>
        <v>0</v>
      </c>
    </row>
    <row r="45" spans="1:8" x14ac:dyDescent="0.3">
      <c r="A45" t="s">
        <v>35</v>
      </c>
      <c r="B45">
        <v>46</v>
      </c>
      <c r="C45">
        <v>59</v>
      </c>
      <c r="D45">
        <f t="shared" si="0"/>
        <v>13</v>
      </c>
      <c r="E45" t="s">
        <v>99</v>
      </c>
      <c r="F45">
        <v>589</v>
      </c>
      <c r="G45">
        <v>772</v>
      </c>
      <c r="H45">
        <f>G45-F45</f>
        <v>183</v>
      </c>
    </row>
    <row r="46" spans="1:8" x14ac:dyDescent="0.3">
      <c r="A46" t="s">
        <v>36</v>
      </c>
      <c r="B46">
        <v>1</v>
      </c>
      <c r="C46">
        <v>1</v>
      </c>
      <c r="D46">
        <f t="shared" si="0"/>
        <v>0</v>
      </c>
      <c r="E46" t="s">
        <v>100</v>
      </c>
      <c r="F46">
        <v>61</v>
      </c>
      <c r="G46">
        <v>73</v>
      </c>
      <c r="H46">
        <f>G46-F46</f>
        <v>12</v>
      </c>
    </row>
    <row r="47" spans="1:8" x14ac:dyDescent="0.3">
      <c r="A47" t="s">
        <v>37</v>
      </c>
      <c r="B47">
        <v>97</v>
      </c>
      <c r="C47">
        <v>138</v>
      </c>
      <c r="D47">
        <f t="shared" si="0"/>
        <v>41</v>
      </c>
      <c r="E47" t="s">
        <v>101</v>
      </c>
      <c r="F47">
        <v>11</v>
      </c>
      <c r="G47">
        <v>20</v>
      </c>
      <c r="H47">
        <f>G47-F47</f>
        <v>9</v>
      </c>
    </row>
    <row r="48" spans="1:8" x14ac:dyDescent="0.3">
      <c r="A48" t="s">
        <v>38</v>
      </c>
      <c r="B48">
        <v>1</v>
      </c>
      <c r="C48">
        <v>1</v>
      </c>
      <c r="D48">
        <f t="shared" si="0"/>
        <v>0</v>
      </c>
      <c r="E48" t="s">
        <v>102</v>
      </c>
      <c r="F48">
        <v>8</v>
      </c>
      <c r="G48">
        <v>9</v>
      </c>
      <c r="H48">
        <f>G48-F48</f>
        <v>1</v>
      </c>
    </row>
    <row r="49" spans="1:8" x14ac:dyDescent="0.3">
      <c r="A49" t="s">
        <v>39</v>
      </c>
      <c r="B49">
        <v>1</v>
      </c>
      <c r="C49">
        <v>1</v>
      </c>
      <c r="D49">
        <f t="shared" si="0"/>
        <v>0</v>
      </c>
      <c r="E49" t="s">
        <v>103</v>
      </c>
      <c r="F49">
        <v>76</v>
      </c>
      <c r="G49">
        <v>110</v>
      </c>
      <c r="H49">
        <f>G49-F49</f>
        <v>34</v>
      </c>
    </row>
    <row r="50" spans="1:8" x14ac:dyDescent="0.3">
      <c r="A50" t="s">
        <v>40</v>
      </c>
      <c r="B50">
        <v>45</v>
      </c>
      <c r="C50">
        <v>74</v>
      </c>
      <c r="D50">
        <f t="shared" si="0"/>
        <v>29</v>
      </c>
      <c r="E50" t="s">
        <v>104</v>
      </c>
      <c r="F50">
        <v>3</v>
      </c>
      <c r="G50">
        <v>6</v>
      </c>
      <c r="H50">
        <f>G50-F50</f>
        <v>3</v>
      </c>
    </row>
    <row r="51" spans="1:8" x14ac:dyDescent="0.3">
      <c r="A51" t="s">
        <v>41</v>
      </c>
      <c r="B51">
        <v>1</v>
      </c>
      <c r="C51">
        <v>2</v>
      </c>
      <c r="D51">
        <f t="shared" si="0"/>
        <v>1</v>
      </c>
      <c r="E51" t="s">
        <v>105</v>
      </c>
      <c r="F51">
        <v>4</v>
      </c>
      <c r="G51">
        <v>10</v>
      </c>
      <c r="H51">
        <f>G51-F51</f>
        <v>6</v>
      </c>
    </row>
    <row r="52" spans="1:8" x14ac:dyDescent="0.3">
      <c r="A52" t="s">
        <v>42</v>
      </c>
      <c r="B52">
        <v>148</v>
      </c>
      <c r="C52">
        <v>203</v>
      </c>
      <c r="D52">
        <f t="shared" si="0"/>
        <v>55</v>
      </c>
      <c r="E52" t="s">
        <v>106</v>
      </c>
      <c r="F52">
        <v>73</v>
      </c>
      <c r="G52">
        <v>98</v>
      </c>
      <c r="H52">
        <f>G52-F52</f>
        <v>25</v>
      </c>
    </row>
    <row r="53" spans="1:8" x14ac:dyDescent="0.3">
      <c r="A53" t="s">
        <v>43</v>
      </c>
      <c r="B53">
        <v>1</v>
      </c>
      <c r="C53">
        <v>1</v>
      </c>
      <c r="D53">
        <f t="shared" si="0"/>
        <v>0</v>
      </c>
      <c r="E53" t="s">
        <v>107</v>
      </c>
      <c r="F53">
        <v>45</v>
      </c>
      <c r="G53">
        <v>47</v>
      </c>
      <c r="H53">
        <f>G53-F53</f>
        <v>2</v>
      </c>
    </row>
    <row r="54" spans="1:8" x14ac:dyDescent="0.3">
      <c r="A54" t="s">
        <v>44</v>
      </c>
      <c r="B54">
        <v>60</v>
      </c>
      <c r="C54">
        <v>76</v>
      </c>
      <c r="D54">
        <f t="shared" si="0"/>
        <v>16</v>
      </c>
      <c r="E54" t="s">
        <v>108</v>
      </c>
      <c r="F54">
        <v>515</v>
      </c>
      <c r="G54">
        <v>668</v>
      </c>
      <c r="H54">
        <f t="shared" ref="H54:H78" si="1">G54-F54</f>
        <v>153</v>
      </c>
    </row>
    <row r="55" spans="1:8" x14ac:dyDescent="0.3">
      <c r="A55" t="s">
        <v>45</v>
      </c>
      <c r="B55">
        <v>2</v>
      </c>
      <c r="C55">
        <v>8</v>
      </c>
      <c r="D55">
        <f t="shared" si="0"/>
        <v>6</v>
      </c>
      <c r="E55" t="s">
        <v>109</v>
      </c>
      <c r="F55">
        <v>143</v>
      </c>
      <c r="G55">
        <v>192</v>
      </c>
      <c r="H55">
        <f t="shared" si="1"/>
        <v>49</v>
      </c>
    </row>
    <row r="56" spans="1:8" x14ac:dyDescent="0.3">
      <c r="A56" t="s">
        <v>46</v>
      </c>
      <c r="B56">
        <v>3</v>
      </c>
      <c r="C56">
        <v>8</v>
      </c>
      <c r="D56">
        <f t="shared" si="0"/>
        <v>5</v>
      </c>
      <c r="E56" t="s">
        <v>110</v>
      </c>
      <c r="F56">
        <v>14</v>
      </c>
      <c r="G56">
        <v>14</v>
      </c>
      <c r="H56">
        <f t="shared" si="1"/>
        <v>0</v>
      </c>
    </row>
    <row r="57" spans="1:8" x14ac:dyDescent="0.3">
      <c r="A57" t="s">
        <v>456</v>
      </c>
      <c r="B57">
        <v>26</v>
      </c>
      <c r="C57">
        <v>25</v>
      </c>
      <c r="D57">
        <f t="shared" si="0"/>
        <v>-1</v>
      </c>
      <c r="E57" t="s">
        <v>111</v>
      </c>
      <c r="F57">
        <v>19</v>
      </c>
      <c r="G57">
        <v>22</v>
      </c>
      <c r="H57">
        <f t="shared" si="1"/>
        <v>3</v>
      </c>
    </row>
    <row r="58" spans="1:8" x14ac:dyDescent="0.3">
      <c r="A58" t="s">
        <v>47</v>
      </c>
      <c r="B58">
        <v>140</v>
      </c>
      <c r="C58">
        <v>179</v>
      </c>
      <c r="D58">
        <f t="shared" si="0"/>
        <v>39</v>
      </c>
      <c r="E58" t="s">
        <v>112</v>
      </c>
      <c r="F58">
        <v>13</v>
      </c>
      <c r="G58">
        <v>22</v>
      </c>
      <c r="H58">
        <f t="shared" si="1"/>
        <v>9</v>
      </c>
    </row>
    <row r="59" spans="1:8" x14ac:dyDescent="0.3">
      <c r="A59" t="s">
        <v>48</v>
      </c>
      <c r="B59">
        <v>1</v>
      </c>
      <c r="C59">
        <v>1</v>
      </c>
      <c r="D59">
        <f t="shared" si="0"/>
        <v>0</v>
      </c>
      <c r="E59" t="s">
        <v>113</v>
      </c>
      <c r="F59">
        <v>20</v>
      </c>
      <c r="G59">
        <v>45</v>
      </c>
      <c r="H59">
        <f t="shared" si="1"/>
        <v>25</v>
      </c>
    </row>
    <row r="60" spans="1:8" x14ac:dyDescent="0.3">
      <c r="A60" t="s">
        <v>49</v>
      </c>
      <c r="B60">
        <v>17</v>
      </c>
      <c r="C60">
        <v>18</v>
      </c>
      <c r="D60">
        <f t="shared" si="0"/>
        <v>1</v>
      </c>
      <c r="E60" t="s">
        <v>453</v>
      </c>
      <c r="F60">
        <v>151</v>
      </c>
      <c r="G60">
        <v>202</v>
      </c>
      <c r="H60">
        <f t="shared" si="1"/>
        <v>51</v>
      </c>
    </row>
    <row r="61" spans="1:8" x14ac:dyDescent="0.3">
      <c r="A61" t="s">
        <v>50</v>
      </c>
      <c r="B61">
        <v>3</v>
      </c>
      <c r="C61">
        <v>6</v>
      </c>
      <c r="D61">
        <f t="shared" si="0"/>
        <v>3</v>
      </c>
      <c r="E61" t="s">
        <v>114</v>
      </c>
      <c r="F61">
        <v>15</v>
      </c>
      <c r="G61">
        <v>20</v>
      </c>
      <c r="H61">
        <f t="shared" si="1"/>
        <v>5</v>
      </c>
    </row>
    <row r="62" spans="1:8" x14ac:dyDescent="0.3">
      <c r="A62" t="s">
        <v>51</v>
      </c>
      <c r="B62">
        <v>3</v>
      </c>
      <c r="C62">
        <v>4</v>
      </c>
      <c r="D62">
        <f t="shared" si="0"/>
        <v>1</v>
      </c>
      <c r="E62" t="s">
        <v>465</v>
      </c>
      <c r="F62">
        <v>1</v>
      </c>
      <c r="G62">
        <v>3</v>
      </c>
      <c r="H62">
        <f t="shared" si="1"/>
        <v>2</v>
      </c>
    </row>
    <row r="63" spans="1:8" x14ac:dyDescent="0.3">
      <c r="A63" t="s">
        <v>432</v>
      </c>
      <c r="B63">
        <v>0</v>
      </c>
      <c r="C63">
        <v>1</v>
      </c>
      <c r="D63">
        <f t="shared" si="0"/>
        <v>1</v>
      </c>
      <c r="E63" t="s">
        <v>115</v>
      </c>
      <c r="F63">
        <v>16</v>
      </c>
      <c r="G63">
        <v>24</v>
      </c>
      <c r="H63">
        <f t="shared" si="1"/>
        <v>8</v>
      </c>
    </row>
    <row r="64" spans="1:8" x14ac:dyDescent="0.3">
      <c r="A64" t="s">
        <v>52</v>
      </c>
      <c r="B64">
        <v>2</v>
      </c>
      <c r="C64">
        <v>3</v>
      </c>
      <c r="D64">
        <f t="shared" si="0"/>
        <v>1</v>
      </c>
      <c r="E64" t="s">
        <v>116</v>
      </c>
      <c r="F64">
        <v>219</v>
      </c>
      <c r="G64">
        <v>274</v>
      </c>
      <c r="H64">
        <f t="shared" si="1"/>
        <v>55</v>
      </c>
    </row>
    <row r="65" spans="1:8" x14ac:dyDescent="0.3">
      <c r="A65" t="s">
        <v>53</v>
      </c>
      <c r="B65">
        <v>1</v>
      </c>
      <c r="C65">
        <v>3</v>
      </c>
      <c r="D65">
        <f t="shared" si="0"/>
        <v>2</v>
      </c>
      <c r="E65" t="s">
        <v>117</v>
      </c>
      <c r="F65">
        <v>13</v>
      </c>
      <c r="G65">
        <v>19</v>
      </c>
      <c r="H65">
        <f t="shared" si="1"/>
        <v>6</v>
      </c>
    </row>
    <row r="66" spans="1:8" x14ac:dyDescent="0.3">
      <c r="A66" t="s">
        <v>54</v>
      </c>
      <c r="B66">
        <v>3</v>
      </c>
      <c r="C66">
        <v>10</v>
      </c>
      <c r="D66">
        <f t="shared" si="0"/>
        <v>7</v>
      </c>
      <c r="E66" t="s">
        <v>118</v>
      </c>
      <c r="F66">
        <v>16</v>
      </c>
      <c r="G66">
        <v>23</v>
      </c>
      <c r="H66">
        <f t="shared" si="1"/>
        <v>7</v>
      </c>
    </row>
    <row r="67" spans="1:8" x14ac:dyDescent="0.3">
      <c r="A67" t="s">
        <v>55</v>
      </c>
      <c r="B67">
        <v>5</v>
      </c>
      <c r="C67">
        <v>6</v>
      </c>
      <c r="D67">
        <f t="shared" ref="D67:D77" si="2">C67-B67</f>
        <v>1</v>
      </c>
      <c r="E67" t="s">
        <v>119</v>
      </c>
      <c r="F67">
        <v>2</v>
      </c>
      <c r="G67">
        <v>3</v>
      </c>
      <c r="H67">
        <f t="shared" si="1"/>
        <v>1</v>
      </c>
    </row>
    <row r="68" spans="1:8" x14ac:dyDescent="0.3">
      <c r="A68" t="s">
        <v>56</v>
      </c>
      <c r="B68">
        <v>5</v>
      </c>
      <c r="C68">
        <v>6</v>
      </c>
      <c r="D68">
        <f t="shared" si="2"/>
        <v>1</v>
      </c>
      <c r="E68" t="s">
        <v>120</v>
      </c>
      <c r="F68">
        <v>1</v>
      </c>
      <c r="G68">
        <v>1</v>
      </c>
      <c r="H68">
        <f t="shared" si="1"/>
        <v>0</v>
      </c>
    </row>
    <row r="69" spans="1:8" x14ac:dyDescent="0.3">
      <c r="A69" t="s">
        <v>57</v>
      </c>
      <c r="B69">
        <v>1</v>
      </c>
      <c r="C69">
        <v>1</v>
      </c>
      <c r="D69">
        <f t="shared" si="2"/>
        <v>0</v>
      </c>
      <c r="E69" t="s">
        <v>121</v>
      </c>
      <c r="F69">
        <v>45</v>
      </c>
      <c r="G69">
        <v>59</v>
      </c>
      <c r="H69">
        <f t="shared" si="1"/>
        <v>14</v>
      </c>
    </row>
    <row r="70" spans="1:8" x14ac:dyDescent="0.3">
      <c r="A70" t="s">
        <v>58</v>
      </c>
      <c r="B70">
        <v>6</v>
      </c>
      <c r="C70">
        <v>6</v>
      </c>
      <c r="D70">
        <f t="shared" si="2"/>
        <v>0</v>
      </c>
      <c r="E70" t="s">
        <v>122</v>
      </c>
      <c r="F70">
        <v>36</v>
      </c>
      <c r="G70">
        <v>48</v>
      </c>
      <c r="H70">
        <f t="shared" si="1"/>
        <v>12</v>
      </c>
    </row>
    <row r="71" spans="1:8" x14ac:dyDescent="0.3">
      <c r="A71" t="s">
        <v>59</v>
      </c>
      <c r="B71">
        <v>150</v>
      </c>
      <c r="C71">
        <v>176</v>
      </c>
      <c r="D71">
        <f t="shared" si="2"/>
        <v>26</v>
      </c>
      <c r="E71" t="s">
        <v>435</v>
      </c>
      <c r="F71">
        <v>0</v>
      </c>
      <c r="G71">
        <v>1</v>
      </c>
      <c r="H71">
        <f t="shared" si="1"/>
        <v>1</v>
      </c>
    </row>
    <row r="72" spans="1:8" x14ac:dyDescent="0.3">
      <c r="A72" t="s">
        <v>433</v>
      </c>
      <c r="B72">
        <v>0</v>
      </c>
      <c r="C72">
        <v>2</v>
      </c>
      <c r="D72">
        <f t="shared" si="2"/>
        <v>2</v>
      </c>
      <c r="E72" t="s">
        <v>123</v>
      </c>
      <c r="F72">
        <v>62</v>
      </c>
      <c r="G72">
        <v>72</v>
      </c>
      <c r="H72">
        <f t="shared" si="1"/>
        <v>10</v>
      </c>
    </row>
    <row r="73" spans="1:8" x14ac:dyDescent="0.3">
      <c r="A73" t="s">
        <v>60</v>
      </c>
      <c r="B73">
        <v>18</v>
      </c>
      <c r="C73">
        <v>23</v>
      </c>
      <c r="D73">
        <f t="shared" si="2"/>
        <v>5</v>
      </c>
      <c r="E73" t="s">
        <v>124</v>
      </c>
      <c r="F73">
        <v>1</v>
      </c>
      <c r="G73">
        <v>1</v>
      </c>
      <c r="H73">
        <f t="shared" si="1"/>
        <v>0</v>
      </c>
    </row>
    <row r="74" spans="1:8" x14ac:dyDescent="0.3">
      <c r="A74" t="s">
        <v>61</v>
      </c>
      <c r="B74">
        <v>8</v>
      </c>
      <c r="C74">
        <v>10</v>
      </c>
      <c r="D74">
        <f t="shared" si="2"/>
        <v>2</v>
      </c>
      <c r="E74" t="s">
        <v>469</v>
      </c>
      <c r="F74">
        <v>79</v>
      </c>
      <c r="G74">
        <v>103</v>
      </c>
      <c r="H74">
        <f t="shared" si="1"/>
        <v>24</v>
      </c>
    </row>
    <row r="75" spans="1:8" x14ac:dyDescent="0.3">
      <c r="A75" t="s">
        <v>62</v>
      </c>
      <c r="B75">
        <v>46</v>
      </c>
      <c r="C75">
        <v>55</v>
      </c>
      <c r="D75">
        <f t="shared" si="2"/>
        <v>9</v>
      </c>
      <c r="E75" t="s">
        <v>125</v>
      </c>
      <c r="F75">
        <v>14</v>
      </c>
      <c r="G75">
        <v>18</v>
      </c>
      <c r="H75">
        <f t="shared" si="1"/>
        <v>4</v>
      </c>
    </row>
    <row r="76" spans="1:8" x14ac:dyDescent="0.3">
      <c r="A76" t="s">
        <v>63</v>
      </c>
      <c r="B76">
        <v>63</v>
      </c>
      <c r="C76">
        <v>98</v>
      </c>
      <c r="D76">
        <f t="shared" si="2"/>
        <v>35</v>
      </c>
      <c r="E76" t="s">
        <v>126</v>
      </c>
      <c r="F76">
        <v>2</v>
      </c>
      <c r="G76">
        <v>2</v>
      </c>
      <c r="H76">
        <f t="shared" si="1"/>
        <v>0</v>
      </c>
    </row>
    <row r="77" spans="1:8" x14ac:dyDescent="0.3">
      <c r="A77" t="s">
        <v>64</v>
      </c>
      <c r="B77">
        <v>88</v>
      </c>
      <c r="C77">
        <v>101</v>
      </c>
      <c r="D77">
        <f t="shared" si="2"/>
        <v>13</v>
      </c>
      <c r="E77" t="s">
        <v>127</v>
      </c>
      <c r="F77">
        <v>8</v>
      </c>
      <c r="G77">
        <v>14</v>
      </c>
      <c r="H77">
        <f t="shared" si="1"/>
        <v>6</v>
      </c>
    </row>
    <row r="78" spans="1:8" x14ac:dyDescent="0.3">
      <c r="A78" t="s">
        <v>65</v>
      </c>
      <c r="B78">
        <v>23</v>
      </c>
      <c r="C78">
        <v>29</v>
      </c>
      <c r="D78">
        <f>C78-B78</f>
        <v>6</v>
      </c>
      <c r="E78" t="s">
        <v>128</v>
      </c>
      <c r="F78">
        <v>12</v>
      </c>
      <c r="G78">
        <v>21</v>
      </c>
      <c r="H78">
        <f t="shared" si="1"/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129F-642C-4039-9BBD-A52DA9EB1FC6}">
  <dimension ref="A1:H158"/>
  <sheetViews>
    <sheetView tabSelected="1" topLeftCell="A29" workbookViewId="0">
      <selection activeCell="E68" sqref="E68"/>
    </sheetView>
  </sheetViews>
  <sheetFormatPr defaultRowHeight="14.4" x14ac:dyDescent="0.3"/>
  <cols>
    <col min="1" max="1" width="16.77734375" customWidth="1"/>
    <col min="2" max="3" width="7.77734375" customWidth="1"/>
    <col min="4" max="4" width="8.77734375" customWidth="1"/>
    <col min="5" max="5" width="22.77734375" customWidth="1"/>
    <col min="6" max="7" width="7.77734375" customWidth="1"/>
    <col min="8" max="8" width="8.77734375" customWidth="1"/>
  </cols>
  <sheetData>
    <row r="1" spans="1:8" x14ac:dyDescent="0.3">
      <c r="A1" s="2" t="s">
        <v>430</v>
      </c>
      <c r="B1" s="3">
        <v>43922</v>
      </c>
      <c r="C1" s="3">
        <v>44317</v>
      </c>
      <c r="D1" s="4" t="s">
        <v>470</v>
      </c>
      <c r="E1" s="2" t="s">
        <v>430</v>
      </c>
      <c r="F1" s="3">
        <v>43922</v>
      </c>
      <c r="G1" s="3">
        <v>44317</v>
      </c>
      <c r="H1" s="4" t="s">
        <v>470</v>
      </c>
    </row>
    <row r="2" spans="1:8" x14ac:dyDescent="0.3">
      <c r="A2" s="1" t="s">
        <v>129</v>
      </c>
      <c r="B2">
        <v>4</v>
      </c>
      <c r="C2">
        <v>3</v>
      </c>
      <c r="D2">
        <f>C2-B2</f>
        <v>-1</v>
      </c>
      <c r="E2" s="1" t="s">
        <v>280</v>
      </c>
      <c r="F2">
        <v>15</v>
      </c>
      <c r="G2">
        <v>21</v>
      </c>
      <c r="H2">
        <f>G2-F2</f>
        <v>6</v>
      </c>
    </row>
    <row r="3" spans="1:8" x14ac:dyDescent="0.3">
      <c r="A3" s="1" t="s">
        <v>130</v>
      </c>
      <c r="B3">
        <v>4</v>
      </c>
      <c r="C3">
        <v>4</v>
      </c>
      <c r="D3">
        <f t="shared" ref="D3:D66" si="0">C3-B3</f>
        <v>0</v>
      </c>
      <c r="E3" s="1" t="s">
        <v>281</v>
      </c>
      <c r="F3">
        <v>3</v>
      </c>
      <c r="G3">
        <v>3</v>
      </c>
      <c r="H3">
        <f>G3-F3</f>
        <v>0</v>
      </c>
    </row>
    <row r="4" spans="1:8" x14ac:dyDescent="0.3">
      <c r="A4" s="1" t="s">
        <v>131</v>
      </c>
      <c r="B4">
        <v>10</v>
      </c>
      <c r="C4">
        <v>16</v>
      </c>
      <c r="D4">
        <f t="shared" si="0"/>
        <v>6</v>
      </c>
      <c r="E4" s="1" t="s">
        <v>282</v>
      </c>
      <c r="F4">
        <v>49</v>
      </c>
      <c r="G4">
        <v>56</v>
      </c>
      <c r="H4">
        <f>G4-F4</f>
        <v>7</v>
      </c>
    </row>
    <row r="5" spans="1:8" x14ac:dyDescent="0.3">
      <c r="A5" s="1" t="s">
        <v>132</v>
      </c>
      <c r="B5">
        <v>2</v>
      </c>
      <c r="C5">
        <v>2</v>
      </c>
      <c r="D5">
        <f t="shared" si="0"/>
        <v>0</v>
      </c>
      <c r="E5" s="1" t="s">
        <v>283</v>
      </c>
      <c r="F5">
        <v>25</v>
      </c>
      <c r="G5">
        <v>31</v>
      </c>
      <c r="H5">
        <f>G5-F5</f>
        <v>6</v>
      </c>
    </row>
    <row r="6" spans="1:8" x14ac:dyDescent="0.3">
      <c r="A6" s="1" t="s">
        <v>133</v>
      </c>
      <c r="B6">
        <v>3</v>
      </c>
      <c r="C6">
        <v>4</v>
      </c>
      <c r="D6">
        <f t="shared" si="0"/>
        <v>1</v>
      </c>
      <c r="E6" s="1" t="s">
        <v>284</v>
      </c>
      <c r="F6">
        <v>10</v>
      </c>
      <c r="G6">
        <v>7</v>
      </c>
      <c r="H6">
        <f>G6-F6</f>
        <v>-3</v>
      </c>
    </row>
    <row r="7" spans="1:8" x14ac:dyDescent="0.3">
      <c r="A7" s="1" t="s">
        <v>134</v>
      </c>
      <c r="B7">
        <v>51</v>
      </c>
      <c r="C7">
        <v>63</v>
      </c>
      <c r="D7">
        <f t="shared" si="0"/>
        <v>12</v>
      </c>
      <c r="E7" s="1" t="s">
        <v>285</v>
      </c>
      <c r="F7">
        <v>30</v>
      </c>
      <c r="G7">
        <v>33</v>
      </c>
      <c r="H7">
        <f>G7-F7</f>
        <v>3</v>
      </c>
    </row>
    <row r="8" spans="1:8" x14ac:dyDescent="0.3">
      <c r="A8" s="1" t="s">
        <v>135</v>
      </c>
      <c r="B8">
        <v>39</v>
      </c>
      <c r="C8">
        <v>47</v>
      </c>
      <c r="D8">
        <f t="shared" si="0"/>
        <v>8</v>
      </c>
      <c r="E8" s="1" t="s">
        <v>286</v>
      </c>
      <c r="F8">
        <v>3</v>
      </c>
      <c r="G8">
        <v>4</v>
      </c>
      <c r="H8">
        <f>G8-F8</f>
        <v>1</v>
      </c>
    </row>
    <row r="9" spans="1:8" x14ac:dyDescent="0.3">
      <c r="A9" s="1" t="s">
        <v>136</v>
      </c>
      <c r="B9">
        <v>1</v>
      </c>
      <c r="C9">
        <v>2</v>
      </c>
      <c r="D9">
        <f t="shared" si="0"/>
        <v>1</v>
      </c>
      <c r="E9" s="1" t="s">
        <v>287</v>
      </c>
      <c r="F9">
        <v>8</v>
      </c>
      <c r="G9">
        <v>9</v>
      </c>
      <c r="H9">
        <f>G9-F9</f>
        <v>1</v>
      </c>
    </row>
    <row r="10" spans="1:8" x14ac:dyDescent="0.3">
      <c r="A10" s="1" t="s">
        <v>137</v>
      </c>
      <c r="B10">
        <v>14</v>
      </c>
      <c r="C10">
        <v>14</v>
      </c>
      <c r="D10">
        <f t="shared" si="0"/>
        <v>0</v>
      </c>
      <c r="E10" s="1" t="s">
        <v>288</v>
      </c>
      <c r="F10">
        <v>17</v>
      </c>
      <c r="G10">
        <v>22</v>
      </c>
      <c r="H10">
        <f>G10-F10</f>
        <v>5</v>
      </c>
    </row>
    <row r="11" spans="1:8" x14ac:dyDescent="0.3">
      <c r="A11" s="1" t="s">
        <v>138</v>
      </c>
      <c r="B11">
        <v>263</v>
      </c>
      <c r="C11">
        <v>299</v>
      </c>
      <c r="D11">
        <f t="shared" si="0"/>
        <v>36</v>
      </c>
      <c r="E11" s="1" t="s">
        <v>289</v>
      </c>
      <c r="F11">
        <v>3</v>
      </c>
      <c r="G11">
        <v>3</v>
      </c>
      <c r="H11">
        <f>G11-F11</f>
        <v>0</v>
      </c>
    </row>
    <row r="12" spans="1:8" x14ac:dyDescent="0.3">
      <c r="A12" s="1" t="s">
        <v>139</v>
      </c>
      <c r="B12">
        <v>2</v>
      </c>
      <c r="C12">
        <v>2</v>
      </c>
      <c r="D12">
        <f t="shared" si="0"/>
        <v>0</v>
      </c>
      <c r="E12" s="1" t="s">
        <v>290</v>
      </c>
      <c r="F12">
        <v>1</v>
      </c>
      <c r="G12">
        <v>1</v>
      </c>
      <c r="H12">
        <f>G12-F12</f>
        <v>0</v>
      </c>
    </row>
    <row r="13" spans="1:8" x14ac:dyDescent="0.3">
      <c r="A13" s="1" t="s">
        <v>140</v>
      </c>
      <c r="B13">
        <v>1</v>
      </c>
      <c r="C13">
        <v>1</v>
      </c>
      <c r="D13">
        <f t="shared" si="0"/>
        <v>0</v>
      </c>
      <c r="E13" s="1" t="s">
        <v>291</v>
      </c>
      <c r="F13">
        <v>37</v>
      </c>
      <c r="G13">
        <v>47</v>
      </c>
      <c r="H13">
        <f>G13-F13</f>
        <v>10</v>
      </c>
    </row>
    <row r="14" spans="1:8" x14ac:dyDescent="0.3">
      <c r="A14" s="1" t="s">
        <v>141</v>
      </c>
      <c r="B14">
        <v>8</v>
      </c>
      <c r="C14">
        <v>11</v>
      </c>
      <c r="D14">
        <f t="shared" si="0"/>
        <v>3</v>
      </c>
      <c r="E14" s="1" t="s">
        <v>292</v>
      </c>
      <c r="F14">
        <v>10</v>
      </c>
      <c r="G14">
        <v>10</v>
      </c>
      <c r="H14">
        <f>G14-F14</f>
        <v>0</v>
      </c>
    </row>
    <row r="15" spans="1:8" x14ac:dyDescent="0.3">
      <c r="A15" s="1" t="s">
        <v>438</v>
      </c>
      <c r="B15">
        <v>0</v>
      </c>
      <c r="C15">
        <v>2</v>
      </c>
      <c r="D15">
        <f t="shared" si="0"/>
        <v>2</v>
      </c>
      <c r="E15" s="1" t="s">
        <v>293</v>
      </c>
      <c r="F15">
        <v>58</v>
      </c>
      <c r="G15">
        <v>64</v>
      </c>
      <c r="H15">
        <f>G15-F15</f>
        <v>6</v>
      </c>
    </row>
    <row r="16" spans="1:8" x14ac:dyDescent="0.3">
      <c r="A16" s="1" t="s">
        <v>142</v>
      </c>
      <c r="B16">
        <v>50</v>
      </c>
      <c r="C16">
        <v>62</v>
      </c>
      <c r="D16">
        <f t="shared" si="0"/>
        <v>12</v>
      </c>
      <c r="E16" s="1" t="s">
        <v>294</v>
      </c>
      <c r="F16">
        <v>30</v>
      </c>
      <c r="G16">
        <v>31</v>
      </c>
      <c r="H16">
        <f>G16-F16</f>
        <v>1</v>
      </c>
    </row>
    <row r="17" spans="1:8" x14ac:dyDescent="0.3">
      <c r="A17" s="1" t="s">
        <v>143</v>
      </c>
      <c r="B17">
        <v>3</v>
      </c>
      <c r="C17">
        <v>3</v>
      </c>
      <c r="D17">
        <f t="shared" si="0"/>
        <v>0</v>
      </c>
      <c r="E17" s="1" t="s">
        <v>295</v>
      </c>
      <c r="F17">
        <v>17</v>
      </c>
      <c r="G17">
        <v>17</v>
      </c>
      <c r="H17">
        <f>G17-F17</f>
        <v>0</v>
      </c>
    </row>
    <row r="18" spans="1:8" x14ac:dyDescent="0.3">
      <c r="A18" s="1" t="s">
        <v>144</v>
      </c>
      <c r="B18">
        <v>1</v>
      </c>
      <c r="C18">
        <v>1</v>
      </c>
      <c r="D18">
        <f t="shared" si="0"/>
        <v>0</v>
      </c>
      <c r="E18" s="1" t="s">
        <v>296</v>
      </c>
      <c r="F18">
        <v>40</v>
      </c>
      <c r="G18">
        <v>47</v>
      </c>
      <c r="H18">
        <f>G18-F18</f>
        <v>7</v>
      </c>
    </row>
    <row r="19" spans="1:8" x14ac:dyDescent="0.3">
      <c r="A19" s="1" t="s">
        <v>145</v>
      </c>
      <c r="B19">
        <v>4</v>
      </c>
      <c r="C19">
        <v>6</v>
      </c>
      <c r="D19">
        <f t="shared" si="0"/>
        <v>2</v>
      </c>
      <c r="E19" s="1" t="s">
        <v>297</v>
      </c>
      <c r="F19">
        <v>49</v>
      </c>
      <c r="G19">
        <v>63</v>
      </c>
      <c r="H19">
        <f>G19-F19</f>
        <v>14</v>
      </c>
    </row>
    <row r="20" spans="1:8" x14ac:dyDescent="0.3">
      <c r="A20" s="1" t="s">
        <v>146</v>
      </c>
      <c r="B20">
        <v>3</v>
      </c>
      <c r="C20">
        <v>5</v>
      </c>
      <c r="D20">
        <f t="shared" si="0"/>
        <v>2</v>
      </c>
      <c r="E20" s="1" t="s">
        <v>298</v>
      </c>
      <c r="F20">
        <v>1</v>
      </c>
      <c r="G20">
        <v>3</v>
      </c>
      <c r="H20">
        <f>G20-F20</f>
        <v>2</v>
      </c>
    </row>
    <row r="21" spans="1:8" x14ac:dyDescent="0.3">
      <c r="A21" s="1" t="s">
        <v>147</v>
      </c>
      <c r="B21">
        <v>15</v>
      </c>
      <c r="C21">
        <v>27</v>
      </c>
      <c r="D21">
        <f t="shared" si="0"/>
        <v>12</v>
      </c>
      <c r="E21" s="1" t="s">
        <v>299</v>
      </c>
      <c r="F21">
        <v>91</v>
      </c>
      <c r="G21">
        <v>116</v>
      </c>
      <c r="H21">
        <f>G21-F21</f>
        <v>25</v>
      </c>
    </row>
    <row r="22" spans="1:8" x14ac:dyDescent="0.3">
      <c r="A22" s="1" t="s">
        <v>148</v>
      </c>
      <c r="B22">
        <v>46</v>
      </c>
      <c r="C22">
        <v>51</v>
      </c>
      <c r="D22">
        <f t="shared" si="0"/>
        <v>5</v>
      </c>
      <c r="E22" s="1" t="s">
        <v>300</v>
      </c>
      <c r="F22">
        <v>26</v>
      </c>
      <c r="G22">
        <v>32</v>
      </c>
      <c r="H22">
        <f>G22-F22</f>
        <v>6</v>
      </c>
    </row>
    <row r="23" spans="1:8" x14ac:dyDescent="0.3">
      <c r="A23" s="1" t="s">
        <v>439</v>
      </c>
      <c r="B23">
        <v>0</v>
      </c>
      <c r="C23">
        <v>1</v>
      </c>
      <c r="D23">
        <f t="shared" si="0"/>
        <v>1</v>
      </c>
      <c r="E23" s="1" t="s">
        <v>301</v>
      </c>
      <c r="F23">
        <v>6</v>
      </c>
      <c r="G23">
        <v>7</v>
      </c>
      <c r="H23">
        <f>G23-F23</f>
        <v>1</v>
      </c>
    </row>
    <row r="24" spans="1:8" x14ac:dyDescent="0.3">
      <c r="A24" s="1" t="s">
        <v>149</v>
      </c>
      <c r="B24">
        <v>28</v>
      </c>
      <c r="C24">
        <v>34</v>
      </c>
      <c r="D24">
        <f t="shared" si="0"/>
        <v>6</v>
      </c>
      <c r="E24" s="1" t="s">
        <v>302</v>
      </c>
      <c r="F24">
        <v>1</v>
      </c>
      <c r="G24">
        <v>4</v>
      </c>
      <c r="H24">
        <f>G24-F24</f>
        <v>3</v>
      </c>
    </row>
    <row r="25" spans="1:8" x14ac:dyDescent="0.3">
      <c r="A25" s="1" t="s">
        <v>150</v>
      </c>
      <c r="B25">
        <v>33</v>
      </c>
      <c r="C25">
        <v>41</v>
      </c>
      <c r="D25">
        <f t="shared" si="0"/>
        <v>8</v>
      </c>
      <c r="E25" s="1" t="s">
        <v>303</v>
      </c>
      <c r="F25">
        <v>62</v>
      </c>
      <c r="G25">
        <v>75</v>
      </c>
      <c r="H25">
        <f>G25-F25</f>
        <v>13</v>
      </c>
    </row>
    <row r="26" spans="1:8" x14ac:dyDescent="0.3">
      <c r="A26" s="1" t="s">
        <v>440</v>
      </c>
      <c r="B26">
        <v>0</v>
      </c>
      <c r="C26">
        <v>1</v>
      </c>
      <c r="D26">
        <f t="shared" si="0"/>
        <v>1</v>
      </c>
      <c r="E26" s="1" t="s">
        <v>304</v>
      </c>
      <c r="F26">
        <v>1</v>
      </c>
      <c r="G26">
        <v>3</v>
      </c>
      <c r="H26">
        <f>G26-F26</f>
        <v>2</v>
      </c>
    </row>
    <row r="27" spans="1:8" x14ac:dyDescent="0.3">
      <c r="A27" s="1" t="s">
        <v>151</v>
      </c>
      <c r="B27">
        <v>36</v>
      </c>
      <c r="C27">
        <v>42</v>
      </c>
      <c r="D27">
        <f t="shared" si="0"/>
        <v>6</v>
      </c>
      <c r="E27" s="1" t="s">
        <v>305</v>
      </c>
      <c r="F27">
        <v>1</v>
      </c>
      <c r="G27">
        <v>1</v>
      </c>
      <c r="H27">
        <f>G27-F27</f>
        <v>0</v>
      </c>
    </row>
    <row r="28" spans="1:8" x14ac:dyDescent="0.3">
      <c r="A28" s="1" t="s">
        <v>152</v>
      </c>
      <c r="B28">
        <v>7</v>
      </c>
      <c r="C28">
        <v>8</v>
      </c>
      <c r="D28">
        <f t="shared" si="0"/>
        <v>1</v>
      </c>
      <c r="E28" s="1" t="s">
        <v>306</v>
      </c>
      <c r="F28">
        <v>1</v>
      </c>
      <c r="G28">
        <v>1</v>
      </c>
      <c r="H28">
        <f>G28-F28</f>
        <v>0</v>
      </c>
    </row>
    <row r="29" spans="1:8" x14ac:dyDescent="0.3">
      <c r="A29" s="1" t="s">
        <v>153</v>
      </c>
      <c r="B29">
        <v>11</v>
      </c>
      <c r="C29">
        <v>12</v>
      </c>
      <c r="D29">
        <f t="shared" si="0"/>
        <v>1</v>
      </c>
      <c r="E29" s="1" t="s">
        <v>444</v>
      </c>
      <c r="F29">
        <v>0</v>
      </c>
      <c r="G29">
        <v>2</v>
      </c>
      <c r="H29">
        <f>G29-F29</f>
        <v>2</v>
      </c>
    </row>
    <row r="30" spans="1:8" x14ac:dyDescent="0.3">
      <c r="A30" s="1" t="s">
        <v>154</v>
      </c>
      <c r="B30">
        <v>18</v>
      </c>
      <c r="C30">
        <v>23</v>
      </c>
      <c r="D30">
        <f t="shared" si="0"/>
        <v>5</v>
      </c>
      <c r="E30" s="1" t="s">
        <v>445</v>
      </c>
      <c r="F30">
        <v>0</v>
      </c>
      <c r="G30">
        <v>1</v>
      </c>
      <c r="H30">
        <f>G30-F30</f>
        <v>1</v>
      </c>
    </row>
    <row r="31" spans="1:8" x14ac:dyDescent="0.3">
      <c r="A31" s="1" t="s">
        <v>155</v>
      </c>
      <c r="B31">
        <v>5</v>
      </c>
      <c r="C31">
        <v>5</v>
      </c>
      <c r="D31">
        <f t="shared" si="0"/>
        <v>0</v>
      </c>
      <c r="E31" s="1" t="s">
        <v>307</v>
      </c>
      <c r="F31">
        <v>7</v>
      </c>
      <c r="G31">
        <v>10</v>
      </c>
      <c r="H31">
        <f>G31-F31</f>
        <v>3</v>
      </c>
    </row>
    <row r="32" spans="1:8" x14ac:dyDescent="0.3">
      <c r="A32" s="1" t="s">
        <v>156</v>
      </c>
      <c r="B32">
        <v>119</v>
      </c>
      <c r="C32">
        <v>132</v>
      </c>
      <c r="D32">
        <f t="shared" si="0"/>
        <v>13</v>
      </c>
      <c r="E32" s="1" t="s">
        <v>308</v>
      </c>
      <c r="F32">
        <v>123</v>
      </c>
      <c r="G32">
        <v>135</v>
      </c>
      <c r="H32">
        <f>G32-F32</f>
        <v>12</v>
      </c>
    </row>
    <row r="33" spans="1:8" x14ac:dyDescent="0.3">
      <c r="A33" s="1" t="s">
        <v>157</v>
      </c>
      <c r="B33">
        <v>2</v>
      </c>
      <c r="C33">
        <v>3</v>
      </c>
      <c r="D33">
        <f t="shared" si="0"/>
        <v>1</v>
      </c>
      <c r="E33" s="1" t="s">
        <v>309</v>
      </c>
      <c r="F33">
        <v>5</v>
      </c>
      <c r="G33">
        <v>6</v>
      </c>
      <c r="H33">
        <f>G33-F33</f>
        <v>1</v>
      </c>
    </row>
    <row r="34" spans="1:8" x14ac:dyDescent="0.3">
      <c r="A34" s="1" t="s">
        <v>158</v>
      </c>
      <c r="B34">
        <v>16</v>
      </c>
      <c r="C34">
        <v>19</v>
      </c>
      <c r="D34">
        <f t="shared" si="0"/>
        <v>3</v>
      </c>
      <c r="E34" s="1" t="s">
        <v>310</v>
      </c>
      <c r="F34">
        <v>1</v>
      </c>
      <c r="G34">
        <v>1</v>
      </c>
      <c r="H34">
        <f>G34-F34</f>
        <v>0</v>
      </c>
    </row>
    <row r="35" spans="1:8" x14ac:dyDescent="0.3">
      <c r="A35" s="1" t="s">
        <v>159</v>
      </c>
      <c r="B35">
        <v>49</v>
      </c>
      <c r="C35">
        <v>70</v>
      </c>
      <c r="D35">
        <f t="shared" si="0"/>
        <v>21</v>
      </c>
      <c r="E35" s="1" t="s">
        <v>311</v>
      </c>
      <c r="F35">
        <v>15</v>
      </c>
      <c r="G35">
        <v>23</v>
      </c>
      <c r="H35">
        <f>G35-F35</f>
        <v>8</v>
      </c>
    </row>
    <row r="36" spans="1:8" x14ac:dyDescent="0.3">
      <c r="A36" s="1" t="s">
        <v>160</v>
      </c>
      <c r="B36">
        <v>24</v>
      </c>
      <c r="C36">
        <v>32</v>
      </c>
      <c r="D36">
        <f t="shared" si="0"/>
        <v>8</v>
      </c>
      <c r="E36" s="1" t="s">
        <v>312</v>
      </c>
      <c r="F36">
        <v>9</v>
      </c>
      <c r="G36">
        <v>12</v>
      </c>
      <c r="H36">
        <f>G36-F36</f>
        <v>3</v>
      </c>
    </row>
    <row r="37" spans="1:8" x14ac:dyDescent="0.3">
      <c r="A37" s="1" t="s">
        <v>161</v>
      </c>
      <c r="B37">
        <v>6</v>
      </c>
      <c r="C37">
        <v>8</v>
      </c>
      <c r="D37">
        <f t="shared" si="0"/>
        <v>2</v>
      </c>
      <c r="E37" s="1" t="s">
        <v>313</v>
      </c>
      <c r="F37">
        <v>38</v>
      </c>
      <c r="G37">
        <v>44</v>
      </c>
      <c r="H37">
        <f>G37-F37</f>
        <v>6</v>
      </c>
    </row>
    <row r="38" spans="1:8" x14ac:dyDescent="0.3">
      <c r="A38" s="1" t="s">
        <v>162</v>
      </c>
      <c r="B38">
        <v>1</v>
      </c>
      <c r="C38">
        <v>5</v>
      </c>
      <c r="D38">
        <f t="shared" si="0"/>
        <v>4</v>
      </c>
      <c r="E38" s="1" t="s">
        <v>314</v>
      </c>
      <c r="F38">
        <v>6</v>
      </c>
      <c r="G38">
        <v>9</v>
      </c>
      <c r="H38">
        <f t="shared" ref="H38:H101" si="1">G38-F38</f>
        <v>3</v>
      </c>
    </row>
    <row r="39" spans="1:8" x14ac:dyDescent="0.3">
      <c r="A39" s="1" t="s">
        <v>163</v>
      </c>
      <c r="B39">
        <v>1</v>
      </c>
      <c r="C39">
        <v>2</v>
      </c>
      <c r="D39">
        <f t="shared" si="0"/>
        <v>1</v>
      </c>
      <c r="E39" s="1" t="s">
        <v>315</v>
      </c>
      <c r="F39">
        <v>1</v>
      </c>
      <c r="G39">
        <v>1</v>
      </c>
      <c r="H39">
        <f t="shared" si="1"/>
        <v>0</v>
      </c>
    </row>
    <row r="40" spans="1:8" x14ac:dyDescent="0.3">
      <c r="A40" s="1" t="s">
        <v>164</v>
      </c>
      <c r="B40">
        <v>59</v>
      </c>
      <c r="C40">
        <v>66</v>
      </c>
      <c r="D40">
        <f t="shared" si="0"/>
        <v>7</v>
      </c>
      <c r="E40" s="1" t="s">
        <v>316</v>
      </c>
      <c r="F40">
        <v>1</v>
      </c>
      <c r="G40">
        <v>3</v>
      </c>
      <c r="H40">
        <f t="shared" si="1"/>
        <v>2</v>
      </c>
    </row>
    <row r="41" spans="1:8" x14ac:dyDescent="0.3">
      <c r="A41" s="1" t="s">
        <v>165</v>
      </c>
      <c r="B41">
        <v>45</v>
      </c>
      <c r="C41">
        <v>48</v>
      </c>
      <c r="D41">
        <f t="shared" si="0"/>
        <v>3</v>
      </c>
      <c r="E41" s="1" t="s">
        <v>317</v>
      </c>
      <c r="F41">
        <v>62</v>
      </c>
      <c r="G41">
        <v>71</v>
      </c>
      <c r="H41">
        <f t="shared" si="1"/>
        <v>9</v>
      </c>
    </row>
    <row r="42" spans="1:8" x14ac:dyDescent="0.3">
      <c r="A42" s="1" t="s">
        <v>166</v>
      </c>
      <c r="B42">
        <v>161</v>
      </c>
      <c r="C42">
        <v>176</v>
      </c>
      <c r="D42">
        <f t="shared" si="0"/>
        <v>15</v>
      </c>
      <c r="E42" s="1" t="s">
        <v>318</v>
      </c>
      <c r="F42">
        <v>44</v>
      </c>
      <c r="G42">
        <v>60</v>
      </c>
      <c r="H42">
        <f t="shared" si="1"/>
        <v>16</v>
      </c>
    </row>
    <row r="43" spans="1:8" x14ac:dyDescent="0.3">
      <c r="A43" s="1" t="s">
        <v>167</v>
      </c>
      <c r="B43">
        <v>4</v>
      </c>
      <c r="C43">
        <v>4</v>
      </c>
      <c r="D43">
        <f t="shared" si="0"/>
        <v>0</v>
      </c>
      <c r="E43" s="1" t="s">
        <v>319</v>
      </c>
      <c r="F43">
        <v>4</v>
      </c>
      <c r="G43">
        <v>4</v>
      </c>
      <c r="H43">
        <f t="shared" si="1"/>
        <v>0</v>
      </c>
    </row>
    <row r="44" spans="1:8" x14ac:dyDescent="0.3">
      <c r="A44" s="1" t="s">
        <v>168</v>
      </c>
      <c r="B44">
        <v>28</v>
      </c>
      <c r="C44">
        <v>31</v>
      </c>
      <c r="D44">
        <f t="shared" si="0"/>
        <v>3</v>
      </c>
      <c r="E44" s="1" t="s">
        <v>320</v>
      </c>
      <c r="F44">
        <v>170</v>
      </c>
      <c r="G44">
        <v>190</v>
      </c>
      <c r="H44">
        <f t="shared" si="1"/>
        <v>20</v>
      </c>
    </row>
    <row r="45" spans="1:8" x14ac:dyDescent="0.3">
      <c r="A45" s="1" t="s">
        <v>169</v>
      </c>
      <c r="B45">
        <v>4</v>
      </c>
      <c r="C45">
        <v>4</v>
      </c>
      <c r="D45">
        <f t="shared" si="0"/>
        <v>0</v>
      </c>
      <c r="E45" s="1" t="s">
        <v>321</v>
      </c>
      <c r="F45">
        <v>136</v>
      </c>
      <c r="G45">
        <v>138</v>
      </c>
      <c r="H45">
        <f t="shared" si="1"/>
        <v>2</v>
      </c>
    </row>
    <row r="46" spans="1:8" x14ac:dyDescent="0.3">
      <c r="A46" s="1" t="s">
        <v>170</v>
      </c>
      <c r="B46">
        <v>32</v>
      </c>
      <c r="C46">
        <v>35</v>
      </c>
      <c r="D46">
        <f t="shared" si="0"/>
        <v>3</v>
      </c>
      <c r="E46" s="1" t="s">
        <v>322</v>
      </c>
      <c r="F46">
        <v>12</v>
      </c>
      <c r="G46">
        <v>13</v>
      </c>
      <c r="H46">
        <f t="shared" si="1"/>
        <v>1</v>
      </c>
    </row>
    <row r="47" spans="1:8" x14ac:dyDescent="0.3">
      <c r="A47" s="1" t="s">
        <v>171</v>
      </c>
      <c r="B47">
        <v>4</v>
      </c>
      <c r="C47">
        <v>5</v>
      </c>
      <c r="D47">
        <f t="shared" si="0"/>
        <v>1</v>
      </c>
      <c r="E47" s="1" t="s">
        <v>323</v>
      </c>
      <c r="F47">
        <v>18</v>
      </c>
      <c r="G47">
        <v>19</v>
      </c>
      <c r="H47">
        <f t="shared" si="1"/>
        <v>1</v>
      </c>
    </row>
    <row r="48" spans="1:8" x14ac:dyDescent="0.3">
      <c r="A48" s="1" t="s">
        <v>172</v>
      </c>
      <c r="B48">
        <v>7</v>
      </c>
      <c r="C48">
        <v>7</v>
      </c>
      <c r="D48">
        <f t="shared" si="0"/>
        <v>0</v>
      </c>
      <c r="E48" s="1" t="s">
        <v>324</v>
      </c>
      <c r="F48">
        <v>78</v>
      </c>
      <c r="G48">
        <v>88</v>
      </c>
      <c r="H48">
        <f t="shared" si="1"/>
        <v>10</v>
      </c>
    </row>
    <row r="49" spans="1:8" x14ac:dyDescent="0.3">
      <c r="A49" s="1" t="s">
        <v>173</v>
      </c>
      <c r="B49">
        <v>3</v>
      </c>
      <c r="C49">
        <v>3</v>
      </c>
      <c r="D49">
        <f t="shared" si="0"/>
        <v>0</v>
      </c>
      <c r="E49" s="1" t="s">
        <v>325</v>
      </c>
      <c r="F49">
        <v>56</v>
      </c>
      <c r="G49">
        <v>61</v>
      </c>
      <c r="H49">
        <f t="shared" si="1"/>
        <v>5</v>
      </c>
    </row>
    <row r="50" spans="1:8" x14ac:dyDescent="0.3">
      <c r="A50" s="1" t="s">
        <v>174</v>
      </c>
      <c r="B50">
        <v>58</v>
      </c>
      <c r="C50">
        <v>69</v>
      </c>
      <c r="D50">
        <f t="shared" si="0"/>
        <v>11</v>
      </c>
      <c r="E50" s="1" t="s">
        <v>446</v>
      </c>
      <c r="F50">
        <v>0</v>
      </c>
      <c r="G50">
        <v>6</v>
      </c>
      <c r="H50">
        <f t="shared" si="1"/>
        <v>6</v>
      </c>
    </row>
    <row r="51" spans="1:8" x14ac:dyDescent="0.3">
      <c r="A51" s="1" t="s">
        <v>175</v>
      </c>
      <c r="B51">
        <v>31</v>
      </c>
      <c r="C51">
        <v>61</v>
      </c>
      <c r="D51">
        <f t="shared" si="0"/>
        <v>30</v>
      </c>
      <c r="E51" s="1" t="s">
        <v>326</v>
      </c>
      <c r="F51">
        <v>8</v>
      </c>
      <c r="G51">
        <v>10</v>
      </c>
      <c r="H51">
        <f t="shared" si="1"/>
        <v>2</v>
      </c>
    </row>
    <row r="52" spans="1:8" x14ac:dyDescent="0.3">
      <c r="A52" s="1" t="s">
        <v>176</v>
      </c>
      <c r="B52">
        <v>2</v>
      </c>
      <c r="C52">
        <v>1</v>
      </c>
      <c r="D52">
        <f t="shared" si="0"/>
        <v>-1</v>
      </c>
      <c r="E52" s="1" t="s">
        <v>327</v>
      </c>
      <c r="F52">
        <v>18</v>
      </c>
      <c r="G52">
        <v>19</v>
      </c>
      <c r="H52">
        <f t="shared" si="1"/>
        <v>1</v>
      </c>
    </row>
    <row r="53" spans="1:8" x14ac:dyDescent="0.3">
      <c r="A53" s="1" t="s">
        <v>177</v>
      </c>
      <c r="B53">
        <v>16</v>
      </c>
      <c r="C53">
        <v>17</v>
      </c>
      <c r="D53">
        <f t="shared" si="0"/>
        <v>1</v>
      </c>
      <c r="E53" s="1" t="s">
        <v>328</v>
      </c>
      <c r="F53">
        <v>18</v>
      </c>
      <c r="G53">
        <v>32</v>
      </c>
      <c r="H53">
        <f t="shared" si="1"/>
        <v>14</v>
      </c>
    </row>
    <row r="54" spans="1:8" x14ac:dyDescent="0.3">
      <c r="A54" s="1" t="s">
        <v>178</v>
      </c>
      <c r="B54">
        <v>6</v>
      </c>
      <c r="C54">
        <v>6</v>
      </c>
      <c r="D54">
        <f t="shared" si="0"/>
        <v>0</v>
      </c>
      <c r="E54" s="1" t="s">
        <v>329</v>
      </c>
      <c r="F54">
        <v>213</v>
      </c>
      <c r="G54">
        <v>246</v>
      </c>
      <c r="H54">
        <f t="shared" si="1"/>
        <v>33</v>
      </c>
    </row>
    <row r="55" spans="1:8" x14ac:dyDescent="0.3">
      <c r="A55" s="1" t="s">
        <v>179</v>
      </c>
      <c r="B55">
        <v>40</v>
      </c>
      <c r="C55">
        <v>48</v>
      </c>
      <c r="D55">
        <f t="shared" si="0"/>
        <v>8</v>
      </c>
      <c r="E55" s="1" t="s">
        <v>330</v>
      </c>
      <c r="F55">
        <v>71</v>
      </c>
      <c r="G55">
        <v>93</v>
      </c>
      <c r="H55">
        <f t="shared" si="1"/>
        <v>22</v>
      </c>
    </row>
    <row r="56" spans="1:8" x14ac:dyDescent="0.3">
      <c r="A56" s="1" t="s">
        <v>180</v>
      </c>
      <c r="B56">
        <v>33</v>
      </c>
      <c r="C56">
        <v>48</v>
      </c>
      <c r="D56">
        <f t="shared" si="0"/>
        <v>15</v>
      </c>
      <c r="E56" s="1" t="s">
        <v>331</v>
      </c>
      <c r="F56">
        <v>26</v>
      </c>
      <c r="G56">
        <v>25</v>
      </c>
      <c r="H56">
        <f t="shared" si="1"/>
        <v>-1</v>
      </c>
    </row>
    <row r="57" spans="1:8" x14ac:dyDescent="0.3">
      <c r="A57" s="1" t="s">
        <v>181</v>
      </c>
      <c r="B57">
        <v>1</v>
      </c>
      <c r="C57">
        <v>1</v>
      </c>
      <c r="D57">
        <f t="shared" si="0"/>
        <v>0</v>
      </c>
      <c r="E57" s="1" t="s">
        <v>332</v>
      </c>
      <c r="F57">
        <v>9</v>
      </c>
      <c r="G57">
        <v>13</v>
      </c>
      <c r="H57">
        <f t="shared" si="1"/>
        <v>4</v>
      </c>
    </row>
    <row r="58" spans="1:8" x14ac:dyDescent="0.3">
      <c r="A58" s="1" t="s">
        <v>182</v>
      </c>
      <c r="B58">
        <v>70</v>
      </c>
      <c r="C58">
        <v>92</v>
      </c>
      <c r="D58">
        <f t="shared" si="0"/>
        <v>22</v>
      </c>
      <c r="E58" s="1" t="s">
        <v>333</v>
      </c>
      <c r="F58">
        <v>15</v>
      </c>
      <c r="G58">
        <v>28</v>
      </c>
      <c r="H58">
        <f t="shared" si="1"/>
        <v>13</v>
      </c>
    </row>
    <row r="59" spans="1:8" x14ac:dyDescent="0.3">
      <c r="A59" s="1" t="s">
        <v>183</v>
      </c>
      <c r="B59">
        <v>32</v>
      </c>
      <c r="C59">
        <v>33</v>
      </c>
      <c r="D59">
        <f t="shared" si="0"/>
        <v>1</v>
      </c>
      <c r="E59" s="1" t="s">
        <v>334</v>
      </c>
      <c r="F59">
        <v>13</v>
      </c>
      <c r="G59">
        <v>13</v>
      </c>
      <c r="H59">
        <f t="shared" si="1"/>
        <v>0</v>
      </c>
    </row>
    <row r="60" spans="1:8" x14ac:dyDescent="0.3">
      <c r="A60" s="1" t="s">
        <v>184</v>
      </c>
      <c r="B60">
        <v>2</v>
      </c>
      <c r="C60">
        <v>2</v>
      </c>
      <c r="D60">
        <f t="shared" si="0"/>
        <v>0</v>
      </c>
      <c r="E60" s="1" t="s">
        <v>335</v>
      </c>
      <c r="F60">
        <v>84</v>
      </c>
      <c r="G60">
        <v>97</v>
      </c>
      <c r="H60">
        <f t="shared" si="1"/>
        <v>13</v>
      </c>
    </row>
    <row r="61" spans="1:8" x14ac:dyDescent="0.3">
      <c r="A61" s="1" t="s">
        <v>185</v>
      </c>
      <c r="B61">
        <v>72</v>
      </c>
      <c r="C61">
        <v>1</v>
      </c>
      <c r="D61">
        <f t="shared" si="0"/>
        <v>-71</v>
      </c>
      <c r="E61" s="1" t="s">
        <v>336</v>
      </c>
      <c r="F61">
        <v>2</v>
      </c>
      <c r="G61">
        <v>2</v>
      </c>
      <c r="H61">
        <f t="shared" si="1"/>
        <v>0</v>
      </c>
    </row>
    <row r="62" spans="1:8" x14ac:dyDescent="0.3">
      <c r="A62" s="1" t="s">
        <v>186</v>
      </c>
      <c r="B62">
        <v>62</v>
      </c>
      <c r="C62">
        <v>78</v>
      </c>
      <c r="D62">
        <f t="shared" si="0"/>
        <v>16</v>
      </c>
      <c r="E62" s="1" t="s">
        <v>337</v>
      </c>
      <c r="F62">
        <v>4</v>
      </c>
      <c r="G62">
        <v>4</v>
      </c>
      <c r="H62">
        <f t="shared" si="1"/>
        <v>0</v>
      </c>
    </row>
    <row r="63" spans="1:8" x14ac:dyDescent="0.3">
      <c r="A63" s="1" t="s">
        <v>187</v>
      </c>
      <c r="B63">
        <v>19</v>
      </c>
      <c r="C63">
        <v>27</v>
      </c>
      <c r="D63">
        <f t="shared" si="0"/>
        <v>8</v>
      </c>
      <c r="E63" s="1" t="s">
        <v>338</v>
      </c>
      <c r="F63">
        <v>125</v>
      </c>
      <c r="G63">
        <v>151</v>
      </c>
      <c r="H63">
        <f t="shared" si="1"/>
        <v>26</v>
      </c>
    </row>
    <row r="64" spans="1:8" x14ac:dyDescent="0.3">
      <c r="A64" s="1" t="s">
        <v>188</v>
      </c>
      <c r="B64">
        <v>38</v>
      </c>
      <c r="C64">
        <v>43</v>
      </c>
      <c r="D64">
        <f t="shared" si="0"/>
        <v>5</v>
      </c>
      <c r="E64" s="1" t="s">
        <v>339</v>
      </c>
      <c r="F64">
        <v>8</v>
      </c>
      <c r="G64">
        <v>9</v>
      </c>
      <c r="H64">
        <f t="shared" si="1"/>
        <v>1</v>
      </c>
    </row>
    <row r="65" spans="1:8" x14ac:dyDescent="0.3">
      <c r="A65" s="1" t="s">
        <v>189</v>
      </c>
      <c r="B65">
        <v>43</v>
      </c>
      <c r="C65">
        <v>52</v>
      </c>
      <c r="D65">
        <f t="shared" si="0"/>
        <v>9</v>
      </c>
      <c r="E65" s="1" t="s">
        <v>340</v>
      </c>
      <c r="F65">
        <v>41</v>
      </c>
      <c r="G65">
        <v>44</v>
      </c>
      <c r="H65">
        <f t="shared" si="1"/>
        <v>3</v>
      </c>
    </row>
    <row r="66" spans="1:8" x14ac:dyDescent="0.3">
      <c r="A66" s="1" t="s">
        <v>190</v>
      </c>
      <c r="B66">
        <v>36</v>
      </c>
      <c r="C66">
        <v>43</v>
      </c>
      <c r="D66">
        <f t="shared" si="0"/>
        <v>7</v>
      </c>
      <c r="E66" s="1" t="s">
        <v>341</v>
      </c>
      <c r="F66">
        <v>3</v>
      </c>
      <c r="G66">
        <v>3</v>
      </c>
      <c r="H66">
        <f t="shared" si="1"/>
        <v>0</v>
      </c>
    </row>
    <row r="67" spans="1:8" x14ac:dyDescent="0.3">
      <c r="A67" s="1" t="s">
        <v>191</v>
      </c>
      <c r="B67">
        <v>137</v>
      </c>
      <c r="C67">
        <v>157</v>
      </c>
      <c r="D67">
        <f t="shared" ref="D67:D130" si="2">C67-B67</f>
        <v>20</v>
      </c>
      <c r="E67" s="1" t="s">
        <v>342</v>
      </c>
      <c r="F67">
        <v>22</v>
      </c>
      <c r="G67">
        <v>22</v>
      </c>
      <c r="H67">
        <f t="shared" si="1"/>
        <v>0</v>
      </c>
    </row>
    <row r="68" spans="1:8" x14ac:dyDescent="0.3">
      <c r="A68" s="1" t="s">
        <v>192</v>
      </c>
      <c r="B68">
        <v>5</v>
      </c>
      <c r="C68">
        <v>4</v>
      </c>
      <c r="D68">
        <f t="shared" si="2"/>
        <v>-1</v>
      </c>
      <c r="E68" s="1" t="s">
        <v>343</v>
      </c>
      <c r="F68">
        <v>29</v>
      </c>
      <c r="G68">
        <v>29</v>
      </c>
      <c r="H68">
        <f t="shared" si="1"/>
        <v>0</v>
      </c>
    </row>
    <row r="69" spans="1:8" x14ac:dyDescent="0.3">
      <c r="A69" s="1" t="s">
        <v>193</v>
      </c>
      <c r="B69">
        <v>110</v>
      </c>
      <c r="C69">
        <v>133</v>
      </c>
      <c r="D69">
        <f t="shared" si="2"/>
        <v>23</v>
      </c>
      <c r="E69" s="1" t="s">
        <v>344</v>
      </c>
      <c r="F69">
        <v>110</v>
      </c>
      <c r="G69">
        <v>128</v>
      </c>
      <c r="H69">
        <f t="shared" si="1"/>
        <v>18</v>
      </c>
    </row>
    <row r="70" spans="1:8" x14ac:dyDescent="0.3">
      <c r="A70" s="1" t="s">
        <v>194</v>
      </c>
      <c r="B70">
        <v>3</v>
      </c>
      <c r="C70">
        <v>3</v>
      </c>
      <c r="D70">
        <f t="shared" si="2"/>
        <v>0</v>
      </c>
      <c r="E70" s="1" t="s">
        <v>345</v>
      </c>
      <c r="F70">
        <v>78</v>
      </c>
      <c r="G70">
        <v>85</v>
      </c>
      <c r="H70">
        <f t="shared" si="1"/>
        <v>7</v>
      </c>
    </row>
    <row r="71" spans="1:8" x14ac:dyDescent="0.3">
      <c r="A71" s="1" t="s">
        <v>195</v>
      </c>
      <c r="B71">
        <v>27</v>
      </c>
      <c r="C71">
        <v>30</v>
      </c>
      <c r="D71">
        <f t="shared" si="2"/>
        <v>3</v>
      </c>
      <c r="E71" s="1" t="s">
        <v>346</v>
      </c>
      <c r="F71">
        <v>14</v>
      </c>
      <c r="G71">
        <v>17</v>
      </c>
      <c r="H71">
        <f t="shared" si="1"/>
        <v>3</v>
      </c>
    </row>
    <row r="72" spans="1:8" x14ac:dyDescent="0.3">
      <c r="A72" s="1" t="s">
        <v>196</v>
      </c>
      <c r="B72">
        <v>1</v>
      </c>
      <c r="C72">
        <v>1</v>
      </c>
      <c r="D72">
        <f t="shared" si="2"/>
        <v>0</v>
      </c>
      <c r="E72" s="1" t="s">
        <v>347</v>
      </c>
      <c r="F72">
        <v>69</v>
      </c>
      <c r="G72">
        <v>83</v>
      </c>
      <c r="H72">
        <f t="shared" si="1"/>
        <v>14</v>
      </c>
    </row>
    <row r="73" spans="1:8" x14ac:dyDescent="0.3">
      <c r="A73" s="1" t="s">
        <v>197</v>
      </c>
      <c r="B73">
        <v>22</v>
      </c>
      <c r="C73">
        <v>24</v>
      </c>
      <c r="D73">
        <f t="shared" si="2"/>
        <v>2</v>
      </c>
      <c r="E73" s="1" t="s">
        <v>348</v>
      </c>
      <c r="F73">
        <v>1</v>
      </c>
      <c r="G73">
        <v>1</v>
      </c>
      <c r="H73">
        <f t="shared" si="1"/>
        <v>0</v>
      </c>
    </row>
    <row r="74" spans="1:8" x14ac:dyDescent="0.3">
      <c r="A74" s="1" t="s">
        <v>198</v>
      </c>
      <c r="B74">
        <v>4</v>
      </c>
      <c r="C74">
        <v>6</v>
      </c>
      <c r="D74">
        <f t="shared" si="2"/>
        <v>2</v>
      </c>
      <c r="E74" s="1" t="s">
        <v>349</v>
      </c>
      <c r="F74">
        <v>339</v>
      </c>
      <c r="G74">
        <v>387</v>
      </c>
      <c r="H74">
        <f t="shared" si="1"/>
        <v>48</v>
      </c>
    </row>
    <row r="75" spans="1:8" x14ac:dyDescent="0.3">
      <c r="A75" s="1" t="s">
        <v>199</v>
      </c>
      <c r="B75">
        <v>76</v>
      </c>
      <c r="C75">
        <v>85</v>
      </c>
      <c r="D75">
        <f t="shared" si="2"/>
        <v>9</v>
      </c>
      <c r="E75" s="1" t="s">
        <v>350</v>
      </c>
      <c r="F75">
        <v>1</v>
      </c>
      <c r="G75">
        <v>3</v>
      </c>
      <c r="H75">
        <f t="shared" si="1"/>
        <v>2</v>
      </c>
    </row>
    <row r="76" spans="1:8" x14ac:dyDescent="0.3">
      <c r="A76" s="1" t="s">
        <v>200</v>
      </c>
      <c r="B76">
        <v>31</v>
      </c>
      <c r="C76">
        <v>36</v>
      </c>
      <c r="D76">
        <f t="shared" si="2"/>
        <v>5</v>
      </c>
      <c r="E76" s="1" t="s">
        <v>351</v>
      </c>
      <c r="F76">
        <v>2</v>
      </c>
      <c r="G76">
        <v>1</v>
      </c>
      <c r="H76">
        <f t="shared" si="1"/>
        <v>-1</v>
      </c>
    </row>
    <row r="77" spans="1:8" x14ac:dyDescent="0.3">
      <c r="A77" s="1" t="s">
        <v>201</v>
      </c>
      <c r="B77">
        <v>18</v>
      </c>
      <c r="C77">
        <v>21</v>
      </c>
      <c r="D77">
        <f t="shared" si="2"/>
        <v>3</v>
      </c>
      <c r="E77" s="1" t="s">
        <v>352</v>
      </c>
      <c r="F77">
        <v>8</v>
      </c>
      <c r="G77">
        <v>9</v>
      </c>
      <c r="H77">
        <f t="shared" si="1"/>
        <v>1</v>
      </c>
    </row>
    <row r="78" spans="1:8" x14ac:dyDescent="0.3">
      <c r="A78" s="1" t="s">
        <v>202</v>
      </c>
      <c r="B78">
        <v>16</v>
      </c>
      <c r="C78">
        <v>24</v>
      </c>
      <c r="D78">
        <f t="shared" si="2"/>
        <v>8</v>
      </c>
      <c r="E78" s="1" t="s">
        <v>353</v>
      </c>
      <c r="F78">
        <v>4</v>
      </c>
      <c r="G78">
        <v>4</v>
      </c>
      <c r="H78">
        <f t="shared" si="1"/>
        <v>0</v>
      </c>
    </row>
    <row r="79" spans="1:8" x14ac:dyDescent="0.3">
      <c r="A79" s="1" t="s">
        <v>203</v>
      </c>
      <c r="B79">
        <v>27</v>
      </c>
      <c r="C79">
        <v>38</v>
      </c>
      <c r="D79">
        <f t="shared" si="2"/>
        <v>11</v>
      </c>
      <c r="E79" s="1" t="s">
        <v>354</v>
      </c>
      <c r="F79">
        <v>23</v>
      </c>
      <c r="G79">
        <v>29</v>
      </c>
      <c r="H79">
        <f t="shared" si="1"/>
        <v>6</v>
      </c>
    </row>
    <row r="80" spans="1:8" x14ac:dyDescent="0.3">
      <c r="A80" s="1" t="s">
        <v>204</v>
      </c>
      <c r="B80">
        <v>2</v>
      </c>
      <c r="C80">
        <v>2</v>
      </c>
      <c r="D80">
        <f t="shared" si="2"/>
        <v>0</v>
      </c>
      <c r="E80" s="1" t="s">
        <v>355</v>
      </c>
      <c r="F80">
        <v>7</v>
      </c>
      <c r="G80">
        <v>7</v>
      </c>
      <c r="H80">
        <f t="shared" si="1"/>
        <v>0</v>
      </c>
    </row>
    <row r="81" spans="1:8" x14ac:dyDescent="0.3">
      <c r="A81" s="1" t="s">
        <v>205</v>
      </c>
      <c r="B81">
        <v>28</v>
      </c>
      <c r="C81">
        <v>575</v>
      </c>
      <c r="D81">
        <f t="shared" si="2"/>
        <v>547</v>
      </c>
      <c r="E81" s="1" t="s">
        <v>356</v>
      </c>
      <c r="F81">
        <v>9</v>
      </c>
      <c r="G81">
        <v>9</v>
      </c>
      <c r="H81">
        <f t="shared" si="1"/>
        <v>0</v>
      </c>
    </row>
    <row r="82" spans="1:8" x14ac:dyDescent="0.3">
      <c r="A82" s="1" t="s">
        <v>206</v>
      </c>
      <c r="B82">
        <v>53</v>
      </c>
      <c r="C82">
        <v>67</v>
      </c>
      <c r="D82">
        <f t="shared" si="2"/>
        <v>14</v>
      </c>
      <c r="E82" s="1" t="s">
        <v>357</v>
      </c>
      <c r="F82">
        <v>37</v>
      </c>
      <c r="G82">
        <v>35</v>
      </c>
      <c r="H82">
        <f t="shared" si="1"/>
        <v>-2</v>
      </c>
    </row>
    <row r="83" spans="1:8" x14ac:dyDescent="0.3">
      <c r="A83" s="1" t="s">
        <v>207</v>
      </c>
      <c r="B83">
        <v>15</v>
      </c>
      <c r="C83">
        <v>19</v>
      </c>
      <c r="D83">
        <f t="shared" si="2"/>
        <v>4</v>
      </c>
      <c r="E83" s="1" t="s">
        <v>358</v>
      </c>
      <c r="F83">
        <v>210</v>
      </c>
      <c r="G83">
        <v>252</v>
      </c>
      <c r="H83">
        <f t="shared" si="1"/>
        <v>42</v>
      </c>
    </row>
    <row r="84" spans="1:8" x14ac:dyDescent="0.3">
      <c r="A84" s="1" t="s">
        <v>208</v>
      </c>
      <c r="B84">
        <v>3</v>
      </c>
      <c r="C84">
        <v>3</v>
      </c>
      <c r="D84">
        <f t="shared" si="2"/>
        <v>0</v>
      </c>
      <c r="E84" s="1" t="s">
        <v>359</v>
      </c>
      <c r="F84">
        <v>57</v>
      </c>
      <c r="G84">
        <v>81</v>
      </c>
      <c r="H84">
        <f t="shared" si="1"/>
        <v>24</v>
      </c>
    </row>
    <row r="85" spans="1:8" x14ac:dyDescent="0.3">
      <c r="A85" s="1" t="s">
        <v>209</v>
      </c>
      <c r="B85">
        <v>3</v>
      </c>
      <c r="C85">
        <v>3</v>
      </c>
      <c r="D85">
        <f t="shared" si="2"/>
        <v>0</v>
      </c>
      <c r="E85" s="1" t="s">
        <v>360</v>
      </c>
      <c r="F85">
        <v>43</v>
      </c>
      <c r="G85">
        <v>46</v>
      </c>
      <c r="H85">
        <f t="shared" si="1"/>
        <v>3</v>
      </c>
    </row>
    <row r="86" spans="1:8" x14ac:dyDescent="0.3">
      <c r="A86" s="1" t="s">
        <v>210</v>
      </c>
      <c r="B86">
        <v>12</v>
      </c>
      <c r="C86">
        <v>14</v>
      </c>
      <c r="D86">
        <f t="shared" si="2"/>
        <v>2</v>
      </c>
      <c r="E86" s="1" t="s">
        <v>361</v>
      </c>
      <c r="F86">
        <v>8</v>
      </c>
      <c r="G86">
        <v>9</v>
      </c>
      <c r="H86">
        <f t="shared" si="1"/>
        <v>1</v>
      </c>
    </row>
    <row r="87" spans="1:8" x14ac:dyDescent="0.3">
      <c r="A87" s="1" t="s">
        <v>211</v>
      </c>
      <c r="B87">
        <v>40</v>
      </c>
      <c r="C87">
        <v>46</v>
      </c>
      <c r="D87">
        <f t="shared" si="2"/>
        <v>6</v>
      </c>
      <c r="E87" s="1" t="s">
        <v>362</v>
      </c>
      <c r="F87">
        <v>14</v>
      </c>
      <c r="G87">
        <v>14</v>
      </c>
      <c r="H87">
        <f t="shared" si="1"/>
        <v>0</v>
      </c>
    </row>
    <row r="88" spans="1:8" x14ac:dyDescent="0.3">
      <c r="A88" s="1" t="s">
        <v>212</v>
      </c>
      <c r="B88">
        <v>167</v>
      </c>
      <c r="C88">
        <v>189</v>
      </c>
      <c r="D88">
        <f t="shared" si="2"/>
        <v>22</v>
      </c>
      <c r="E88" s="1" t="s">
        <v>363</v>
      </c>
      <c r="F88">
        <v>26</v>
      </c>
      <c r="G88">
        <v>33</v>
      </c>
      <c r="H88">
        <f t="shared" si="1"/>
        <v>7</v>
      </c>
    </row>
    <row r="89" spans="1:8" x14ac:dyDescent="0.3">
      <c r="A89" s="1" t="s">
        <v>213</v>
      </c>
      <c r="B89">
        <v>7</v>
      </c>
      <c r="C89">
        <v>7</v>
      </c>
      <c r="D89">
        <f t="shared" si="2"/>
        <v>0</v>
      </c>
      <c r="E89" s="1" t="s">
        <v>364</v>
      </c>
      <c r="F89">
        <v>37</v>
      </c>
      <c r="G89">
        <v>40</v>
      </c>
      <c r="H89">
        <f t="shared" si="1"/>
        <v>3</v>
      </c>
    </row>
    <row r="90" spans="1:8" x14ac:dyDescent="0.3">
      <c r="A90" s="1" t="s">
        <v>214</v>
      </c>
      <c r="B90">
        <v>33</v>
      </c>
      <c r="C90">
        <v>35</v>
      </c>
      <c r="D90">
        <f t="shared" si="2"/>
        <v>2</v>
      </c>
      <c r="E90" s="1" t="s">
        <v>365</v>
      </c>
      <c r="F90">
        <v>13</v>
      </c>
      <c r="G90">
        <v>14</v>
      </c>
      <c r="H90">
        <f t="shared" si="1"/>
        <v>1</v>
      </c>
    </row>
    <row r="91" spans="1:8" x14ac:dyDescent="0.3">
      <c r="A91" s="1" t="s">
        <v>441</v>
      </c>
      <c r="B91">
        <v>0</v>
      </c>
      <c r="C91">
        <v>1</v>
      </c>
      <c r="D91">
        <f t="shared" si="2"/>
        <v>1</v>
      </c>
      <c r="E91" s="1" t="s">
        <v>366</v>
      </c>
      <c r="F91">
        <v>59</v>
      </c>
      <c r="G91">
        <v>68</v>
      </c>
      <c r="H91">
        <f t="shared" si="1"/>
        <v>9</v>
      </c>
    </row>
    <row r="92" spans="1:8" x14ac:dyDescent="0.3">
      <c r="A92" s="1" t="s">
        <v>215</v>
      </c>
      <c r="B92">
        <v>3</v>
      </c>
      <c r="C92">
        <v>3</v>
      </c>
      <c r="D92">
        <f t="shared" si="2"/>
        <v>0</v>
      </c>
      <c r="E92" s="1" t="s">
        <v>367</v>
      </c>
      <c r="F92">
        <v>165</v>
      </c>
      <c r="G92">
        <v>208</v>
      </c>
      <c r="H92">
        <f t="shared" si="1"/>
        <v>43</v>
      </c>
    </row>
    <row r="93" spans="1:8" x14ac:dyDescent="0.3">
      <c r="A93" s="1" t="s">
        <v>216</v>
      </c>
      <c r="B93">
        <v>6</v>
      </c>
      <c r="C93">
        <v>8</v>
      </c>
      <c r="D93">
        <f t="shared" si="2"/>
        <v>2</v>
      </c>
      <c r="E93" s="1" t="s">
        <v>368</v>
      </c>
      <c r="F93">
        <v>57</v>
      </c>
      <c r="G93">
        <v>65</v>
      </c>
      <c r="H93">
        <f t="shared" si="1"/>
        <v>8</v>
      </c>
    </row>
    <row r="94" spans="1:8" x14ac:dyDescent="0.3">
      <c r="A94" s="1" t="s">
        <v>217</v>
      </c>
      <c r="B94">
        <v>134</v>
      </c>
      <c r="C94">
        <v>152</v>
      </c>
      <c r="D94">
        <f t="shared" si="2"/>
        <v>18</v>
      </c>
      <c r="E94" s="1" t="s">
        <v>369</v>
      </c>
      <c r="F94">
        <v>55</v>
      </c>
      <c r="G94">
        <v>66</v>
      </c>
      <c r="H94">
        <f t="shared" si="1"/>
        <v>11</v>
      </c>
    </row>
    <row r="95" spans="1:8" x14ac:dyDescent="0.3">
      <c r="A95" s="1" t="s">
        <v>218</v>
      </c>
      <c r="B95">
        <v>11</v>
      </c>
      <c r="C95">
        <v>14</v>
      </c>
      <c r="D95">
        <f t="shared" si="2"/>
        <v>3</v>
      </c>
      <c r="E95" s="1" t="s">
        <v>370</v>
      </c>
      <c r="F95">
        <v>135</v>
      </c>
      <c r="G95">
        <v>140</v>
      </c>
      <c r="H95">
        <f t="shared" si="1"/>
        <v>5</v>
      </c>
    </row>
    <row r="96" spans="1:8" x14ac:dyDescent="0.3">
      <c r="A96" s="1" t="s">
        <v>219</v>
      </c>
      <c r="B96">
        <v>4</v>
      </c>
      <c r="C96">
        <v>4</v>
      </c>
      <c r="D96">
        <f t="shared" si="2"/>
        <v>0</v>
      </c>
      <c r="E96" s="1" t="s">
        <v>371</v>
      </c>
      <c r="F96">
        <v>14</v>
      </c>
      <c r="G96">
        <v>10</v>
      </c>
      <c r="H96">
        <f t="shared" si="1"/>
        <v>-4</v>
      </c>
    </row>
    <row r="97" spans="1:8" x14ac:dyDescent="0.3">
      <c r="A97" s="1" t="s">
        <v>220</v>
      </c>
      <c r="B97">
        <v>46</v>
      </c>
      <c r="C97">
        <v>61</v>
      </c>
      <c r="D97">
        <f t="shared" si="2"/>
        <v>15</v>
      </c>
      <c r="E97" s="1" t="s">
        <v>372</v>
      </c>
      <c r="F97">
        <v>49</v>
      </c>
      <c r="G97">
        <v>63</v>
      </c>
      <c r="H97">
        <f t="shared" si="1"/>
        <v>14</v>
      </c>
    </row>
    <row r="98" spans="1:8" x14ac:dyDescent="0.3">
      <c r="A98" s="1" t="s">
        <v>221</v>
      </c>
      <c r="B98">
        <v>90</v>
      </c>
      <c r="C98">
        <v>105</v>
      </c>
      <c r="D98">
        <f t="shared" si="2"/>
        <v>15</v>
      </c>
      <c r="E98" s="1" t="s">
        <v>373</v>
      </c>
      <c r="F98">
        <v>2</v>
      </c>
      <c r="G98">
        <v>3</v>
      </c>
      <c r="H98">
        <f t="shared" si="1"/>
        <v>1</v>
      </c>
    </row>
    <row r="99" spans="1:8" x14ac:dyDescent="0.3">
      <c r="A99" s="1" t="s">
        <v>222</v>
      </c>
      <c r="B99">
        <v>44</v>
      </c>
      <c r="C99">
        <v>44</v>
      </c>
      <c r="D99">
        <f t="shared" si="2"/>
        <v>0</v>
      </c>
      <c r="E99" s="1" t="s">
        <v>374</v>
      </c>
      <c r="F99">
        <v>35</v>
      </c>
      <c r="G99">
        <v>34</v>
      </c>
      <c r="H99">
        <f t="shared" si="1"/>
        <v>-1</v>
      </c>
    </row>
    <row r="100" spans="1:8" x14ac:dyDescent="0.3">
      <c r="A100" s="1" t="s">
        <v>223</v>
      </c>
      <c r="B100">
        <v>51</v>
      </c>
      <c r="C100">
        <v>60</v>
      </c>
      <c r="D100">
        <f t="shared" si="2"/>
        <v>9</v>
      </c>
      <c r="E100" s="1" t="s">
        <v>375</v>
      </c>
      <c r="F100">
        <v>7</v>
      </c>
      <c r="G100">
        <v>8</v>
      </c>
      <c r="H100">
        <f t="shared" si="1"/>
        <v>1</v>
      </c>
    </row>
    <row r="101" spans="1:8" x14ac:dyDescent="0.3">
      <c r="A101" s="1" t="s">
        <v>224</v>
      </c>
      <c r="B101">
        <v>139</v>
      </c>
      <c r="C101">
        <v>169</v>
      </c>
      <c r="D101">
        <f t="shared" si="2"/>
        <v>30</v>
      </c>
      <c r="E101" s="1" t="s">
        <v>376</v>
      </c>
      <c r="F101">
        <v>13</v>
      </c>
      <c r="G101">
        <v>18</v>
      </c>
      <c r="H101">
        <f t="shared" si="1"/>
        <v>5</v>
      </c>
    </row>
    <row r="102" spans="1:8" x14ac:dyDescent="0.3">
      <c r="A102" s="1" t="s">
        <v>225</v>
      </c>
      <c r="B102">
        <v>28</v>
      </c>
      <c r="C102">
        <v>30</v>
      </c>
      <c r="D102">
        <f t="shared" si="2"/>
        <v>2</v>
      </c>
      <c r="E102" s="1" t="s">
        <v>377</v>
      </c>
      <c r="F102">
        <v>14</v>
      </c>
      <c r="G102">
        <v>16</v>
      </c>
      <c r="H102">
        <f t="shared" ref="H102:H158" si="3">G102-F102</f>
        <v>2</v>
      </c>
    </row>
    <row r="103" spans="1:8" x14ac:dyDescent="0.3">
      <c r="A103" s="1" t="s">
        <v>226</v>
      </c>
      <c r="B103">
        <v>12</v>
      </c>
      <c r="C103">
        <v>12</v>
      </c>
      <c r="D103">
        <f t="shared" si="2"/>
        <v>0</v>
      </c>
      <c r="E103" s="1" t="s">
        <v>378</v>
      </c>
      <c r="F103">
        <v>9</v>
      </c>
      <c r="G103">
        <v>12</v>
      </c>
      <c r="H103">
        <f t="shared" si="3"/>
        <v>3</v>
      </c>
    </row>
    <row r="104" spans="1:8" x14ac:dyDescent="0.3">
      <c r="A104" s="1" t="s">
        <v>227</v>
      </c>
      <c r="B104">
        <v>12</v>
      </c>
      <c r="C104">
        <v>16</v>
      </c>
      <c r="D104">
        <f t="shared" si="2"/>
        <v>4</v>
      </c>
      <c r="E104" s="1" t="s">
        <v>379</v>
      </c>
      <c r="F104">
        <v>23</v>
      </c>
      <c r="G104">
        <v>30</v>
      </c>
      <c r="H104">
        <f t="shared" si="3"/>
        <v>7</v>
      </c>
    </row>
    <row r="105" spans="1:8" x14ac:dyDescent="0.3">
      <c r="A105" s="1" t="s">
        <v>228</v>
      </c>
      <c r="B105">
        <v>5</v>
      </c>
      <c r="C105">
        <v>5</v>
      </c>
      <c r="D105">
        <f t="shared" si="2"/>
        <v>0</v>
      </c>
      <c r="E105" s="1" t="s">
        <v>380</v>
      </c>
      <c r="F105">
        <v>4</v>
      </c>
      <c r="G105">
        <v>6</v>
      </c>
      <c r="H105">
        <f t="shared" si="3"/>
        <v>2</v>
      </c>
    </row>
    <row r="106" spans="1:8" x14ac:dyDescent="0.3">
      <c r="A106" s="1" t="s">
        <v>229</v>
      </c>
      <c r="B106">
        <v>1</v>
      </c>
      <c r="C106">
        <v>1</v>
      </c>
      <c r="D106">
        <f t="shared" si="2"/>
        <v>0</v>
      </c>
      <c r="E106" s="1" t="s">
        <v>381</v>
      </c>
      <c r="F106">
        <v>11</v>
      </c>
      <c r="G106">
        <v>14</v>
      </c>
      <c r="H106">
        <f t="shared" si="3"/>
        <v>3</v>
      </c>
    </row>
    <row r="107" spans="1:8" x14ac:dyDescent="0.3">
      <c r="A107" s="1" t="s">
        <v>230</v>
      </c>
      <c r="B107">
        <v>4</v>
      </c>
      <c r="C107">
        <v>4</v>
      </c>
      <c r="D107">
        <f t="shared" si="2"/>
        <v>0</v>
      </c>
      <c r="E107" s="1" t="s">
        <v>382</v>
      </c>
      <c r="F107">
        <v>2</v>
      </c>
      <c r="G107">
        <v>3</v>
      </c>
      <c r="H107">
        <f t="shared" si="3"/>
        <v>1</v>
      </c>
    </row>
    <row r="108" spans="1:8" x14ac:dyDescent="0.3">
      <c r="A108" s="1" t="s">
        <v>231</v>
      </c>
      <c r="B108">
        <v>12</v>
      </c>
      <c r="C108">
        <v>12</v>
      </c>
      <c r="D108">
        <f t="shared" si="2"/>
        <v>0</v>
      </c>
      <c r="E108" s="1" t="s">
        <v>383</v>
      </c>
      <c r="F108">
        <v>18</v>
      </c>
      <c r="G108">
        <v>10</v>
      </c>
      <c r="H108">
        <f t="shared" si="3"/>
        <v>-8</v>
      </c>
    </row>
    <row r="109" spans="1:8" x14ac:dyDescent="0.3">
      <c r="A109" s="1" t="s">
        <v>232</v>
      </c>
      <c r="B109">
        <v>8</v>
      </c>
      <c r="C109">
        <v>11</v>
      </c>
      <c r="D109">
        <f t="shared" si="2"/>
        <v>3</v>
      </c>
      <c r="E109" s="1" t="s">
        <v>384</v>
      </c>
      <c r="F109">
        <v>1</v>
      </c>
      <c r="G109">
        <v>1</v>
      </c>
      <c r="H109">
        <f t="shared" si="3"/>
        <v>0</v>
      </c>
    </row>
    <row r="110" spans="1:8" x14ac:dyDescent="0.3">
      <c r="A110" s="1" t="s">
        <v>233</v>
      </c>
      <c r="B110">
        <v>4</v>
      </c>
      <c r="C110">
        <v>4</v>
      </c>
      <c r="D110">
        <f t="shared" si="2"/>
        <v>0</v>
      </c>
      <c r="E110" s="1" t="s">
        <v>385</v>
      </c>
      <c r="F110">
        <v>11</v>
      </c>
      <c r="G110">
        <v>10</v>
      </c>
      <c r="H110">
        <f t="shared" si="3"/>
        <v>-1</v>
      </c>
    </row>
    <row r="111" spans="1:8" x14ac:dyDescent="0.3">
      <c r="A111" s="1" t="s">
        <v>234</v>
      </c>
      <c r="B111">
        <v>35</v>
      </c>
      <c r="C111">
        <v>38</v>
      </c>
      <c r="D111">
        <f t="shared" si="2"/>
        <v>3</v>
      </c>
      <c r="E111" s="1" t="s">
        <v>386</v>
      </c>
      <c r="F111">
        <v>28</v>
      </c>
      <c r="G111">
        <v>33</v>
      </c>
      <c r="H111">
        <f t="shared" si="3"/>
        <v>5</v>
      </c>
    </row>
    <row r="112" spans="1:8" x14ac:dyDescent="0.3">
      <c r="A112" s="1" t="s">
        <v>235</v>
      </c>
      <c r="B112">
        <v>56</v>
      </c>
      <c r="C112">
        <v>71</v>
      </c>
      <c r="D112">
        <f t="shared" si="2"/>
        <v>15</v>
      </c>
      <c r="E112" s="1" t="s">
        <v>387</v>
      </c>
      <c r="F112">
        <v>4</v>
      </c>
      <c r="G112">
        <v>4</v>
      </c>
      <c r="H112">
        <f t="shared" si="3"/>
        <v>0</v>
      </c>
    </row>
    <row r="113" spans="1:8" x14ac:dyDescent="0.3">
      <c r="A113" s="1" t="s">
        <v>236</v>
      </c>
      <c r="B113">
        <v>8</v>
      </c>
      <c r="C113">
        <v>9</v>
      </c>
      <c r="D113">
        <f t="shared" si="2"/>
        <v>1</v>
      </c>
      <c r="E113" s="1" t="s">
        <v>388</v>
      </c>
      <c r="F113">
        <v>49</v>
      </c>
      <c r="G113">
        <v>59</v>
      </c>
      <c r="H113">
        <f t="shared" si="3"/>
        <v>10</v>
      </c>
    </row>
    <row r="114" spans="1:8" x14ac:dyDescent="0.3">
      <c r="A114" s="1" t="s">
        <v>237</v>
      </c>
      <c r="B114">
        <v>1</v>
      </c>
      <c r="C114">
        <v>1</v>
      </c>
      <c r="D114">
        <f t="shared" si="2"/>
        <v>0</v>
      </c>
      <c r="E114" s="1" t="s">
        <v>389</v>
      </c>
      <c r="F114">
        <v>14</v>
      </c>
      <c r="G114">
        <v>18</v>
      </c>
      <c r="H114">
        <f t="shared" si="3"/>
        <v>4</v>
      </c>
    </row>
    <row r="115" spans="1:8" x14ac:dyDescent="0.3">
      <c r="A115" s="1" t="s">
        <v>238</v>
      </c>
      <c r="B115">
        <v>2</v>
      </c>
      <c r="C115">
        <v>2</v>
      </c>
      <c r="D115">
        <f t="shared" si="2"/>
        <v>0</v>
      </c>
      <c r="E115" s="1" t="s">
        <v>390</v>
      </c>
      <c r="F115">
        <v>87</v>
      </c>
      <c r="G115">
        <v>109</v>
      </c>
      <c r="H115">
        <f t="shared" si="3"/>
        <v>22</v>
      </c>
    </row>
    <row r="116" spans="1:8" x14ac:dyDescent="0.3">
      <c r="A116" s="1" t="s">
        <v>239</v>
      </c>
      <c r="B116">
        <v>24</v>
      </c>
      <c r="C116">
        <v>24</v>
      </c>
      <c r="D116">
        <f t="shared" si="2"/>
        <v>0</v>
      </c>
      <c r="E116" s="1" t="s">
        <v>391</v>
      </c>
      <c r="F116">
        <v>1</v>
      </c>
      <c r="G116">
        <v>1</v>
      </c>
      <c r="H116">
        <f t="shared" si="3"/>
        <v>0</v>
      </c>
    </row>
    <row r="117" spans="1:8" x14ac:dyDescent="0.3">
      <c r="A117" s="1" t="s">
        <v>240</v>
      </c>
      <c r="B117">
        <v>29</v>
      </c>
      <c r="C117">
        <v>30</v>
      </c>
      <c r="D117">
        <f t="shared" si="2"/>
        <v>1</v>
      </c>
      <c r="E117" s="1" t="s">
        <v>392</v>
      </c>
      <c r="F117">
        <v>6</v>
      </c>
      <c r="G117">
        <v>8</v>
      </c>
      <c r="H117">
        <f t="shared" si="3"/>
        <v>2</v>
      </c>
    </row>
    <row r="118" spans="1:8" x14ac:dyDescent="0.3">
      <c r="A118" s="1" t="s">
        <v>241</v>
      </c>
      <c r="B118">
        <v>3</v>
      </c>
      <c r="C118">
        <v>5</v>
      </c>
      <c r="D118">
        <f t="shared" si="2"/>
        <v>2</v>
      </c>
      <c r="E118" s="1" t="s">
        <v>393</v>
      </c>
      <c r="F118">
        <v>5</v>
      </c>
      <c r="G118">
        <v>7</v>
      </c>
      <c r="H118">
        <f t="shared" si="3"/>
        <v>2</v>
      </c>
    </row>
    <row r="119" spans="1:8" x14ac:dyDescent="0.3">
      <c r="A119" s="1" t="s">
        <v>242</v>
      </c>
      <c r="B119">
        <v>128</v>
      </c>
      <c r="C119">
        <v>163</v>
      </c>
      <c r="D119">
        <f t="shared" si="2"/>
        <v>35</v>
      </c>
      <c r="E119" s="1" t="s">
        <v>394</v>
      </c>
      <c r="F119">
        <v>17</v>
      </c>
      <c r="G119">
        <v>19</v>
      </c>
      <c r="H119">
        <f t="shared" si="3"/>
        <v>2</v>
      </c>
    </row>
    <row r="120" spans="1:8" x14ac:dyDescent="0.3">
      <c r="A120" s="1" t="s">
        <v>243</v>
      </c>
      <c r="B120">
        <v>17</v>
      </c>
      <c r="C120">
        <v>20</v>
      </c>
      <c r="D120">
        <f t="shared" si="2"/>
        <v>3</v>
      </c>
      <c r="E120" s="1" t="s">
        <v>447</v>
      </c>
      <c r="F120">
        <v>0</v>
      </c>
      <c r="G120">
        <v>2</v>
      </c>
      <c r="H120">
        <f t="shared" si="3"/>
        <v>2</v>
      </c>
    </row>
    <row r="121" spans="1:8" x14ac:dyDescent="0.3">
      <c r="A121" s="1" t="s">
        <v>244</v>
      </c>
      <c r="B121">
        <v>9</v>
      </c>
      <c r="C121">
        <v>9</v>
      </c>
      <c r="D121">
        <f t="shared" si="2"/>
        <v>0</v>
      </c>
      <c r="E121" s="1" t="s">
        <v>395</v>
      </c>
      <c r="F121">
        <v>8</v>
      </c>
      <c r="G121">
        <v>8</v>
      </c>
      <c r="H121">
        <f t="shared" si="3"/>
        <v>0</v>
      </c>
    </row>
    <row r="122" spans="1:8" x14ac:dyDescent="0.3">
      <c r="A122" s="1" t="s">
        <v>245</v>
      </c>
      <c r="B122">
        <v>14</v>
      </c>
      <c r="C122">
        <v>15</v>
      </c>
      <c r="D122">
        <f t="shared" si="2"/>
        <v>1</v>
      </c>
      <c r="E122" s="1" t="s">
        <v>396</v>
      </c>
      <c r="F122">
        <v>1</v>
      </c>
      <c r="G122">
        <v>1</v>
      </c>
      <c r="H122">
        <f t="shared" si="3"/>
        <v>0</v>
      </c>
    </row>
    <row r="123" spans="1:8" x14ac:dyDescent="0.3">
      <c r="A123" s="1" t="s">
        <v>246</v>
      </c>
      <c r="B123">
        <v>65</v>
      </c>
      <c r="C123">
        <v>67</v>
      </c>
      <c r="D123">
        <f t="shared" si="2"/>
        <v>2</v>
      </c>
      <c r="E123" s="1" t="s">
        <v>397</v>
      </c>
      <c r="F123">
        <v>2</v>
      </c>
      <c r="G123">
        <v>2</v>
      </c>
      <c r="H123">
        <f t="shared" si="3"/>
        <v>0</v>
      </c>
    </row>
    <row r="124" spans="1:8" x14ac:dyDescent="0.3">
      <c r="A124" s="1" t="s">
        <v>247</v>
      </c>
      <c r="B124">
        <v>44</v>
      </c>
      <c r="C124">
        <v>54</v>
      </c>
      <c r="D124">
        <f t="shared" si="2"/>
        <v>10</v>
      </c>
      <c r="E124" s="1" t="s">
        <v>398</v>
      </c>
      <c r="F124">
        <v>161</v>
      </c>
      <c r="G124">
        <v>174</v>
      </c>
      <c r="H124">
        <f t="shared" si="3"/>
        <v>13</v>
      </c>
    </row>
    <row r="125" spans="1:8" x14ac:dyDescent="0.3">
      <c r="A125" s="1" t="s">
        <v>248</v>
      </c>
      <c r="B125">
        <v>445</v>
      </c>
      <c r="C125">
        <v>489</v>
      </c>
      <c r="D125">
        <f t="shared" si="2"/>
        <v>44</v>
      </c>
      <c r="E125" s="1" t="s">
        <v>399</v>
      </c>
      <c r="F125">
        <v>17</v>
      </c>
      <c r="G125">
        <v>18</v>
      </c>
      <c r="H125">
        <f t="shared" si="3"/>
        <v>1</v>
      </c>
    </row>
    <row r="126" spans="1:8" x14ac:dyDescent="0.3">
      <c r="A126" s="1" t="s">
        <v>249</v>
      </c>
      <c r="B126">
        <v>28</v>
      </c>
      <c r="C126">
        <v>38</v>
      </c>
      <c r="D126">
        <f t="shared" si="2"/>
        <v>10</v>
      </c>
      <c r="E126" s="1" t="s">
        <v>400</v>
      </c>
      <c r="F126">
        <v>6</v>
      </c>
      <c r="G126">
        <v>9</v>
      </c>
      <c r="H126">
        <f t="shared" si="3"/>
        <v>3</v>
      </c>
    </row>
    <row r="127" spans="1:8" x14ac:dyDescent="0.3">
      <c r="A127" s="1" t="s">
        <v>442</v>
      </c>
      <c r="B127">
        <v>0</v>
      </c>
      <c r="C127">
        <v>1</v>
      </c>
      <c r="D127">
        <f t="shared" si="2"/>
        <v>1</v>
      </c>
      <c r="E127" s="1" t="s">
        <v>401</v>
      </c>
      <c r="F127">
        <v>40</v>
      </c>
      <c r="G127">
        <v>46</v>
      </c>
      <c r="H127">
        <f t="shared" si="3"/>
        <v>6</v>
      </c>
    </row>
    <row r="128" spans="1:8" x14ac:dyDescent="0.3">
      <c r="A128" s="1" t="s">
        <v>250</v>
      </c>
      <c r="B128">
        <v>1</v>
      </c>
      <c r="C128">
        <v>1</v>
      </c>
      <c r="D128">
        <f t="shared" si="2"/>
        <v>0</v>
      </c>
      <c r="E128" s="1" t="s">
        <v>402</v>
      </c>
      <c r="F128">
        <v>4</v>
      </c>
      <c r="G128">
        <v>6</v>
      </c>
      <c r="H128">
        <f t="shared" si="3"/>
        <v>2</v>
      </c>
    </row>
    <row r="129" spans="1:8" x14ac:dyDescent="0.3">
      <c r="A129" s="1" t="s">
        <v>251</v>
      </c>
      <c r="B129">
        <v>5</v>
      </c>
      <c r="C129">
        <v>8</v>
      </c>
      <c r="D129">
        <f t="shared" si="2"/>
        <v>3</v>
      </c>
      <c r="E129" s="1" t="s">
        <v>403</v>
      </c>
      <c r="F129">
        <v>42</v>
      </c>
      <c r="G129">
        <v>54</v>
      </c>
      <c r="H129">
        <f t="shared" si="3"/>
        <v>12</v>
      </c>
    </row>
    <row r="130" spans="1:8" x14ac:dyDescent="0.3">
      <c r="A130" s="1" t="s">
        <v>252</v>
      </c>
      <c r="B130">
        <v>9</v>
      </c>
      <c r="C130">
        <v>7</v>
      </c>
      <c r="D130">
        <f t="shared" si="2"/>
        <v>-2</v>
      </c>
      <c r="E130" s="1" t="s">
        <v>404</v>
      </c>
      <c r="F130">
        <v>28</v>
      </c>
      <c r="G130">
        <v>31</v>
      </c>
      <c r="H130">
        <f t="shared" si="3"/>
        <v>3</v>
      </c>
    </row>
    <row r="131" spans="1:8" x14ac:dyDescent="0.3">
      <c r="A131" s="1" t="s">
        <v>253</v>
      </c>
      <c r="B131">
        <v>20</v>
      </c>
      <c r="C131">
        <v>28</v>
      </c>
      <c r="D131">
        <f t="shared" ref="D131:D157" si="4">C131-B131</f>
        <v>8</v>
      </c>
      <c r="E131" s="1" t="s">
        <v>405</v>
      </c>
      <c r="F131">
        <v>1</v>
      </c>
      <c r="G131">
        <v>1</v>
      </c>
      <c r="H131">
        <f t="shared" si="3"/>
        <v>0</v>
      </c>
    </row>
    <row r="132" spans="1:8" x14ac:dyDescent="0.3">
      <c r="A132" s="1" t="s">
        <v>254</v>
      </c>
      <c r="B132">
        <v>10</v>
      </c>
      <c r="C132">
        <v>10</v>
      </c>
      <c r="D132">
        <f t="shared" si="4"/>
        <v>0</v>
      </c>
      <c r="E132" s="1" t="s">
        <v>406</v>
      </c>
      <c r="F132">
        <v>60</v>
      </c>
      <c r="G132">
        <v>68</v>
      </c>
      <c r="H132">
        <f t="shared" si="3"/>
        <v>8</v>
      </c>
    </row>
    <row r="133" spans="1:8" x14ac:dyDescent="0.3">
      <c r="A133" s="1" t="s">
        <v>255</v>
      </c>
      <c r="B133">
        <v>21</v>
      </c>
      <c r="C133">
        <v>23</v>
      </c>
      <c r="D133">
        <f t="shared" si="4"/>
        <v>2</v>
      </c>
      <c r="E133" s="1" t="s">
        <v>407</v>
      </c>
      <c r="F133">
        <v>2</v>
      </c>
      <c r="G133">
        <v>2</v>
      </c>
      <c r="H133">
        <f t="shared" si="3"/>
        <v>0</v>
      </c>
    </row>
    <row r="134" spans="1:8" x14ac:dyDescent="0.3">
      <c r="A134" s="1" t="s">
        <v>256</v>
      </c>
      <c r="B134">
        <v>23</v>
      </c>
      <c r="C134">
        <v>27</v>
      </c>
      <c r="D134">
        <f t="shared" si="4"/>
        <v>4</v>
      </c>
      <c r="E134" s="1" t="s">
        <v>408</v>
      </c>
      <c r="F134">
        <v>69</v>
      </c>
      <c r="G134">
        <v>85</v>
      </c>
      <c r="H134">
        <f t="shared" si="3"/>
        <v>16</v>
      </c>
    </row>
    <row r="135" spans="1:8" x14ac:dyDescent="0.3">
      <c r="A135" s="1" t="s">
        <v>257</v>
      </c>
      <c r="B135">
        <v>13</v>
      </c>
      <c r="C135">
        <v>14</v>
      </c>
      <c r="D135">
        <f t="shared" si="4"/>
        <v>1</v>
      </c>
      <c r="E135" s="1" t="s">
        <v>409</v>
      </c>
      <c r="F135">
        <v>7</v>
      </c>
      <c r="G135">
        <v>8</v>
      </c>
      <c r="H135">
        <f t="shared" si="3"/>
        <v>1</v>
      </c>
    </row>
    <row r="136" spans="1:8" x14ac:dyDescent="0.3">
      <c r="A136" s="1" t="s">
        <v>258</v>
      </c>
      <c r="B136">
        <v>11</v>
      </c>
      <c r="C136">
        <v>14</v>
      </c>
      <c r="D136">
        <f t="shared" si="4"/>
        <v>3</v>
      </c>
      <c r="E136" s="1" t="s">
        <v>448</v>
      </c>
      <c r="F136">
        <v>0</v>
      </c>
      <c r="G136">
        <v>1</v>
      </c>
      <c r="H136">
        <f t="shared" si="3"/>
        <v>1</v>
      </c>
    </row>
    <row r="137" spans="1:8" x14ac:dyDescent="0.3">
      <c r="A137" s="1" t="s">
        <v>259</v>
      </c>
      <c r="B137">
        <v>38</v>
      </c>
      <c r="C137">
        <v>45</v>
      </c>
      <c r="D137">
        <f t="shared" si="4"/>
        <v>7</v>
      </c>
      <c r="E137" s="1" t="s">
        <v>410</v>
      </c>
      <c r="F137">
        <v>30</v>
      </c>
      <c r="G137">
        <v>37</v>
      </c>
      <c r="H137">
        <f t="shared" si="3"/>
        <v>7</v>
      </c>
    </row>
    <row r="138" spans="1:8" x14ac:dyDescent="0.3">
      <c r="A138" s="1" t="s">
        <v>260</v>
      </c>
      <c r="B138">
        <v>19</v>
      </c>
      <c r="C138">
        <v>24</v>
      </c>
      <c r="D138">
        <f t="shared" si="4"/>
        <v>5</v>
      </c>
      <c r="E138" s="1" t="s">
        <v>449</v>
      </c>
      <c r="F138">
        <v>0</v>
      </c>
      <c r="G138">
        <v>1</v>
      </c>
      <c r="H138">
        <f t="shared" si="3"/>
        <v>1</v>
      </c>
    </row>
    <row r="139" spans="1:8" x14ac:dyDescent="0.3">
      <c r="A139" s="1" t="s">
        <v>261</v>
      </c>
      <c r="B139">
        <v>5</v>
      </c>
      <c r="C139">
        <v>6</v>
      </c>
      <c r="D139">
        <f t="shared" si="4"/>
        <v>1</v>
      </c>
      <c r="E139" s="1" t="s">
        <v>411</v>
      </c>
      <c r="F139">
        <v>1</v>
      </c>
      <c r="G139">
        <v>1</v>
      </c>
      <c r="H139">
        <f t="shared" si="3"/>
        <v>0</v>
      </c>
    </row>
    <row r="140" spans="1:8" x14ac:dyDescent="0.3">
      <c r="A140" s="1" t="s">
        <v>262</v>
      </c>
      <c r="B140">
        <v>40</v>
      </c>
      <c r="C140">
        <v>44</v>
      </c>
      <c r="D140">
        <f t="shared" si="4"/>
        <v>4</v>
      </c>
      <c r="E140" s="1" t="s">
        <v>412</v>
      </c>
      <c r="F140">
        <v>22</v>
      </c>
      <c r="G140">
        <v>28</v>
      </c>
      <c r="H140">
        <f t="shared" si="3"/>
        <v>6</v>
      </c>
    </row>
    <row r="141" spans="1:8" x14ac:dyDescent="0.3">
      <c r="A141" s="1" t="s">
        <v>263</v>
      </c>
      <c r="B141">
        <v>30</v>
      </c>
      <c r="C141">
        <v>36</v>
      </c>
      <c r="D141">
        <f t="shared" si="4"/>
        <v>6</v>
      </c>
      <c r="E141" s="1" t="s">
        <v>413</v>
      </c>
      <c r="F141">
        <v>1</v>
      </c>
      <c r="G141">
        <v>1</v>
      </c>
      <c r="H141">
        <f t="shared" si="3"/>
        <v>0</v>
      </c>
    </row>
    <row r="142" spans="1:8" x14ac:dyDescent="0.3">
      <c r="A142" s="1" t="s">
        <v>264</v>
      </c>
      <c r="B142">
        <v>39</v>
      </c>
      <c r="C142">
        <v>40</v>
      </c>
      <c r="D142">
        <f t="shared" si="4"/>
        <v>1</v>
      </c>
      <c r="E142" s="1" t="s">
        <v>414</v>
      </c>
      <c r="F142">
        <v>1</v>
      </c>
      <c r="G142">
        <v>1</v>
      </c>
      <c r="H142">
        <f t="shared" si="3"/>
        <v>0</v>
      </c>
    </row>
    <row r="143" spans="1:8" x14ac:dyDescent="0.3">
      <c r="A143" s="1" t="s">
        <v>265</v>
      </c>
      <c r="B143">
        <v>8</v>
      </c>
      <c r="C143">
        <v>10</v>
      </c>
      <c r="D143">
        <f t="shared" si="4"/>
        <v>2</v>
      </c>
      <c r="E143" s="1" t="s">
        <v>415</v>
      </c>
      <c r="F143">
        <v>40</v>
      </c>
      <c r="G143">
        <v>44</v>
      </c>
      <c r="H143">
        <f t="shared" si="3"/>
        <v>4</v>
      </c>
    </row>
    <row r="144" spans="1:8" x14ac:dyDescent="0.3">
      <c r="A144" s="1" t="s">
        <v>266</v>
      </c>
      <c r="B144">
        <v>31</v>
      </c>
      <c r="C144">
        <v>32</v>
      </c>
      <c r="D144">
        <f t="shared" si="4"/>
        <v>1</v>
      </c>
      <c r="E144" s="1" t="s">
        <v>416</v>
      </c>
      <c r="F144">
        <v>12</v>
      </c>
      <c r="G144">
        <v>10</v>
      </c>
      <c r="H144">
        <f t="shared" si="3"/>
        <v>-2</v>
      </c>
    </row>
    <row r="145" spans="1:8" x14ac:dyDescent="0.3">
      <c r="A145" s="1" t="s">
        <v>267</v>
      </c>
      <c r="B145">
        <v>52</v>
      </c>
      <c r="C145">
        <v>58</v>
      </c>
      <c r="D145">
        <f t="shared" si="4"/>
        <v>6</v>
      </c>
      <c r="E145" s="1" t="s">
        <v>417</v>
      </c>
      <c r="F145">
        <v>41</v>
      </c>
      <c r="G145">
        <v>41</v>
      </c>
      <c r="H145">
        <f t="shared" si="3"/>
        <v>0</v>
      </c>
    </row>
    <row r="146" spans="1:8" x14ac:dyDescent="0.3">
      <c r="A146" s="1" t="s">
        <v>268</v>
      </c>
      <c r="B146">
        <v>28</v>
      </c>
      <c r="C146">
        <v>28</v>
      </c>
      <c r="D146">
        <f t="shared" si="4"/>
        <v>0</v>
      </c>
      <c r="E146" s="1" t="s">
        <v>418</v>
      </c>
      <c r="F146">
        <v>5</v>
      </c>
      <c r="G146">
        <v>4</v>
      </c>
      <c r="H146">
        <f t="shared" si="3"/>
        <v>-1</v>
      </c>
    </row>
    <row r="147" spans="1:8" x14ac:dyDescent="0.3">
      <c r="A147" s="1" t="s">
        <v>269</v>
      </c>
      <c r="B147">
        <v>2</v>
      </c>
      <c r="C147">
        <v>5</v>
      </c>
      <c r="D147">
        <f t="shared" si="4"/>
        <v>3</v>
      </c>
      <c r="E147" s="1" t="s">
        <v>419</v>
      </c>
      <c r="F147">
        <v>3</v>
      </c>
      <c r="G147">
        <v>3</v>
      </c>
      <c r="H147">
        <f t="shared" si="3"/>
        <v>0</v>
      </c>
    </row>
    <row r="148" spans="1:8" x14ac:dyDescent="0.3">
      <c r="A148" s="1" t="s">
        <v>270</v>
      </c>
      <c r="B148">
        <v>3</v>
      </c>
      <c r="C148">
        <v>3</v>
      </c>
      <c r="D148">
        <f t="shared" si="4"/>
        <v>0</v>
      </c>
      <c r="E148" s="1" t="s">
        <v>420</v>
      </c>
      <c r="F148">
        <v>27</v>
      </c>
      <c r="G148">
        <v>27</v>
      </c>
      <c r="H148">
        <f t="shared" si="3"/>
        <v>0</v>
      </c>
    </row>
    <row r="149" spans="1:8" x14ac:dyDescent="0.3">
      <c r="A149" s="1" t="s">
        <v>271</v>
      </c>
      <c r="B149">
        <v>1</v>
      </c>
      <c r="C149">
        <v>1</v>
      </c>
      <c r="D149">
        <f t="shared" si="4"/>
        <v>0</v>
      </c>
      <c r="E149" s="1" t="s">
        <v>421</v>
      </c>
      <c r="F149">
        <v>27</v>
      </c>
      <c r="G149">
        <v>34</v>
      </c>
      <c r="H149">
        <f t="shared" si="3"/>
        <v>7</v>
      </c>
    </row>
    <row r="150" spans="1:8" x14ac:dyDescent="0.3">
      <c r="A150" s="1" t="s">
        <v>272</v>
      </c>
      <c r="B150">
        <v>26</v>
      </c>
      <c r="C150">
        <v>33</v>
      </c>
      <c r="D150">
        <f t="shared" si="4"/>
        <v>7</v>
      </c>
      <c r="E150" s="1" t="s">
        <v>422</v>
      </c>
      <c r="F150">
        <v>1</v>
      </c>
      <c r="G150">
        <v>0</v>
      </c>
      <c r="H150">
        <f t="shared" si="3"/>
        <v>-1</v>
      </c>
    </row>
    <row r="151" spans="1:8" x14ac:dyDescent="0.3">
      <c r="A151" s="1" t="s">
        <v>443</v>
      </c>
      <c r="B151">
        <v>0</v>
      </c>
      <c r="C151">
        <v>3</v>
      </c>
      <c r="D151">
        <f t="shared" si="4"/>
        <v>3</v>
      </c>
      <c r="E151" s="1" t="s">
        <v>423</v>
      </c>
      <c r="F151">
        <v>64</v>
      </c>
      <c r="G151">
        <v>73</v>
      </c>
      <c r="H151">
        <f t="shared" si="3"/>
        <v>9</v>
      </c>
    </row>
    <row r="152" spans="1:8" x14ac:dyDescent="0.3">
      <c r="A152" s="1" t="s">
        <v>273</v>
      </c>
      <c r="B152">
        <v>6</v>
      </c>
      <c r="C152">
        <v>6</v>
      </c>
      <c r="D152">
        <f t="shared" si="4"/>
        <v>0</v>
      </c>
      <c r="E152" s="1" t="s">
        <v>424</v>
      </c>
      <c r="F152">
        <v>17</v>
      </c>
      <c r="G152">
        <v>16</v>
      </c>
      <c r="H152">
        <f t="shared" si="3"/>
        <v>-1</v>
      </c>
    </row>
    <row r="153" spans="1:8" x14ac:dyDescent="0.3">
      <c r="A153" s="1" t="s">
        <v>274</v>
      </c>
      <c r="B153">
        <v>3</v>
      </c>
      <c r="C153">
        <v>1</v>
      </c>
      <c r="D153">
        <f t="shared" si="4"/>
        <v>-2</v>
      </c>
      <c r="E153" s="1" t="s">
        <v>425</v>
      </c>
      <c r="F153">
        <v>56</v>
      </c>
      <c r="G153">
        <v>73</v>
      </c>
      <c r="H153">
        <f t="shared" si="3"/>
        <v>17</v>
      </c>
    </row>
    <row r="154" spans="1:8" x14ac:dyDescent="0.3">
      <c r="A154" s="1" t="s">
        <v>275</v>
      </c>
      <c r="B154">
        <v>33</v>
      </c>
      <c r="C154">
        <v>34</v>
      </c>
      <c r="D154">
        <f t="shared" si="4"/>
        <v>1</v>
      </c>
      <c r="E154" s="1" t="s">
        <v>426</v>
      </c>
      <c r="F154">
        <v>15</v>
      </c>
      <c r="G154">
        <v>16</v>
      </c>
      <c r="H154">
        <f t="shared" si="3"/>
        <v>1</v>
      </c>
    </row>
    <row r="155" spans="1:8" x14ac:dyDescent="0.3">
      <c r="A155" s="1" t="s">
        <v>276</v>
      </c>
      <c r="B155">
        <v>5</v>
      </c>
      <c r="C155">
        <v>6</v>
      </c>
      <c r="D155">
        <f t="shared" si="4"/>
        <v>1</v>
      </c>
      <c r="E155" s="1" t="s">
        <v>427</v>
      </c>
      <c r="F155">
        <v>70</v>
      </c>
      <c r="G155">
        <v>67</v>
      </c>
      <c r="H155">
        <f t="shared" si="3"/>
        <v>-3</v>
      </c>
    </row>
    <row r="156" spans="1:8" x14ac:dyDescent="0.3">
      <c r="A156" s="1" t="s">
        <v>277</v>
      </c>
      <c r="B156">
        <v>316</v>
      </c>
      <c r="C156">
        <v>396</v>
      </c>
      <c r="D156">
        <f t="shared" si="4"/>
        <v>80</v>
      </c>
      <c r="E156" s="1" t="s">
        <v>450</v>
      </c>
      <c r="F156">
        <v>0</v>
      </c>
      <c r="G156">
        <v>2</v>
      </c>
      <c r="H156">
        <f t="shared" si="3"/>
        <v>2</v>
      </c>
    </row>
    <row r="157" spans="1:8" x14ac:dyDescent="0.3">
      <c r="A157" s="1" t="s">
        <v>278</v>
      </c>
      <c r="B157">
        <v>24</v>
      </c>
      <c r="C157">
        <v>30</v>
      </c>
      <c r="D157">
        <f t="shared" si="4"/>
        <v>6</v>
      </c>
      <c r="E157" s="1" t="s">
        <v>428</v>
      </c>
      <c r="F157">
        <v>31</v>
      </c>
      <c r="G157">
        <v>37</v>
      </c>
      <c r="H157">
        <f t="shared" si="3"/>
        <v>6</v>
      </c>
    </row>
    <row r="158" spans="1:8" x14ac:dyDescent="0.3">
      <c r="A158" s="1" t="s">
        <v>279</v>
      </c>
      <c r="B158" s="5">
        <v>2100</v>
      </c>
      <c r="C158" s="5">
        <v>2463</v>
      </c>
      <c r="D158" s="5">
        <f>C158-B158</f>
        <v>363</v>
      </c>
      <c r="E158" s="1" t="s">
        <v>429</v>
      </c>
      <c r="F158">
        <v>25</v>
      </c>
      <c r="G158">
        <v>27</v>
      </c>
      <c r="H158">
        <f t="shared" si="3"/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BAAQMD</vt:lpstr>
      <vt:lpstr>SCAQMD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andyb</dc:creator>
  <cp:lastModifiedBy>Steven Moss</cp:lastModifiedBy>
  <dcterms:created xsi:type="dcterms:W3CDTF">2021-07-28T19:28:05Z</dcterms:created>
  <dcterms:modified xsi:type="dcterms:W3CDTF">2021-07-31T15:37:07Z</dcterms:modified>
</cp:coreProperties>
</file>